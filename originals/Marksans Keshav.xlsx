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Documents\Codex\2026-10-16\https-x-com-painn-x-status\outputs\excel-model-maker\originals\"/>
    </mc:Choice>
  </mc:AlternateContent>
  <xr:revisionPtr revIDLastSave="0" documentId="13_ncr:1_{32699E1B-0875-47EE-A351-29531B2AEAE5}" xr6:coauthVersionLast="47" xr6:coauthVersionMax="47" xr10:uidLastSave="{00000000-0000-0000-0000-000000000000}"/>
  <bookViews>
    <workbookView xWindow="-108" yWindow="-108" windowWidth="23256" windowHeight="12456" tabRatio="931" activeTab="3" xr2:uid="{7A3F891B-1454-478E-B26F-461AA729B3B9}"/>
  </bookViews>
  <sheets>
    <sheet name="Model -&gt;" sheetId="17" r:id="rId1"/>
    <sheet name="Main Financials" sheetId="1" r:id="rId2"/>
    <sheet name="Ratio Analysis" sheetId="20" r:id="rId3"/>
    <sheet name="Intrinsic Growth" sheetId="27" r:id="rId4"/>
    <sheet name="Comps" sheetId="30" r:id="rId5"/>
    <sheet name="WACC-DCF" sheetId="22" r:id="rId6"/>
    <sheet name="DCF 1st way" sheetId="28" r:id="rId7"/>
    <sheet name="DCF 2nd way" sheetId="32" r:id="rId8"/>
    <sheet name="Data -&gt;" sheetId="16" r:id="rId9"/>
    <sheet name="compdata" sheetId="31" r:id="rId10"/>
    <sheet name="Data Sheet" sheetId="11" r:id="rId11"/>
    <sheet name="BS" sheetId="26" r:id="rId12"/>
    <sheet name="Beta" sheetId="23" r:id="rId13"/>
    <sheet name="RM" sheetId="25" r:id="rId14"/>
    <sheet name="peerdata" sheetId="24" r:id="rId15"/>
    <sheet name="Cash Flow" sheetId="12" r:id="rId16"/>
  </sheets>
  <definedNames>
    <definedName name="_xlnm._FilterDatabase" localSheetId="12" hidden="1">Beta!$F$7:$G$112</definedName>
    <definedName name="tgr">'DCF 2nd way'!$D$10</definedName>
    <definedName name="UPDATE">'Data Sheet'!$E$1</definedName>
    <definedName name="wacc">'DCF 2nd way'!$D$9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28" l="1"/>
  <c r="E38" i="1" l="1"/>
  <c r="F38" i="1"/>
  <c r="G38" i="1"/>
  <c r="H38" i="1"/>
  <c r="I38" i="1"/>
  <c r="J38" i="1"/>
  <c r="D38" i="1"/>
  <c r="E32" i="1"/>
  <c r="F32" i="1"/>
  <c r="G32" i="1"/>
  <c r="H32" i="1"/>
  <c r="I32" i="1"/>
  <c r="J32" i="1"/>
  <c r="D32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E103" i="1"/>
  <c r="F103" i="1"/>
  <c r="G103" i="1"/>
  <c r="H103" i="1"/>
  <c r="I103" i="1"/>
  <c r="J103" i="1"/>
  <c r="D103" i="1"/>
  <c r="E102" i="1"/>
  <c r="F102" i="1"/>
  <c r="G102" i="1"/>
  <c r="H102" i="1"/>
  <c r="I102" i="1"/>
  <c r="J102" i="1"/>
  <c r="D102" i="1"/>
  <c r="E101" i="1"/>
  <c r="F101" i="1"/>
  <c r="G101" i="1"/>
  <c r="H101" i="1"/>
  <c r="I101" i="1"/>
  <c r="J101" i="1"/>
  <c r="D101" i="1"/>
  <c r="E100" i="1"/>
  <c r="F100" i="1"/>
  <c r="G100" i="1"/>
  <c r="H100" i="1"/>
  <c r="I100" i="1"/>
  <c r="J100" i="1"/>
  <c r="D100" i="1"/>
  <c r="E99" i="1"/>
  <c r="F99" i="1"/>
  <c r="G99" i="1"/>
  <c r="H99" i="1"/>
  <c r="I99" i="1"/>
  <c r="J99" i="1"/>
  <c r="D99" i="1"/>
  <c r="C70" i="32"/>
  <c r="C71" i="32" s="1"/>
  <c r="C72" i="32" s="1"/>
  <c r="C73" i="32" s="1"/>
  <c r="C74" i="32" s="1"/>
  <c r="C75" i="32" s="1"/>
  <c r="C76" i="32" s="1"/>
  <c r="C77" i="32" s="1"/>
  <c r="C78" i="32" s="1"/>
  <c r="C79" i="32" s="1"/>
  <c r="E29" i="32"/>
  <c r="E22" i="32"/>
  <c r="F22" i="32" s="1"/>
  <c r="F11" i="32"/>
  <c r="G11" i="32" s="1"/>
  <c r="H11" i="32" s="1"/>
  <c r="I11" i="32" s="1"/>
  <c r="J11" i="32" s="1"/>
  <c r="K11" i="32" s="1"/>
  <c r="L11" i="32" s="1"/>
  <c r="M11" i="32" s="1"/>
  <c r="N11" i="32" s="1"/>
  <c r="F12" i="32"/>
  <c r="G12" i="32" s="1"/>
  <c r="H12" i="32" s="1"/>
  <c r="I12" i="32" s="1"/>
  <c r="J12" i="32" s="1"/>
  <c r="K12" i="32" s="1"/>
  <c r="L12" i="32" s="1"/>
  <c r="M12" i="32" s="1"/>
  <c r="N12" i="32" s="1"/>
  <c r="K31" i="32"/>
  <c r="L31" i="32" s="1"/>
  <c r="M31" i="32" s="1"/>
  <c r="N31" i="32" s="1"/>
  <c r="E32" i="32" l="1"/>
  <c r="F32" i="32"/>
  <c r="G22" i="32"/>
  <c r="G32" i="32" l="1"/>
  <c r="H22" i="32"/>
  <c r="I22" i="32" l="1"/>
  <c r="H32" i="32"/>
  <c r="L8" i="30"/>
  <c r="J8" i="30"/>
  <c r="E8" i="30"/>
  <c r="P29" i="30" s="1"/>
  <c r="D8" i="30"/>
  <c r="B8" i="30"/>
  <c r="L10" i="30"/>
  <c r="L11" i="30"/>
  <c r="L12" i="30"/>
  <c r="L13" i="30"/>
  <c r="L14" i="30"/>
  <c r="L15" i="30"/>
  <c r="L9" i="30"/>
  <c r="J10" i="30"/>
  <c r="J11" i="30"/>
  <c r="J12" i="30"/>
  <c r="J13" i="30"/>
  <c r="J14" i="30"/>
  <c r="J15" i="30"/>
  <c r="J9" i="30"/>
  <c r="I4" i="31"/>
  <c r="G10" i="30" s="1"/>
  <c r="I5" i="31"/>
  <c r="G11" i="30" s="1"/>
  <c r="I6" i="31"/>
  <c r="G12" i="30" s="1"/>
  <c r="I7" i="31"/>
  <c r="G13" i="30" s="1"/>
  <c r="I8" i="31"/>
  <c r="G14" i="30" s="1"/>
  <c r="I9" i="31"/>
  <c r="G15" i="30" s="1"/>
  <c r="I10" i="31"/>
  <c r="G8" i="30" s="1"/>
  <c r="I3" i="31"/>
  <c r="G9" i="30" s="1"/>
  <c r="D10" i="30"/>
  <c r="E10" i="30"/>
  <c r="D11" i="30"/>
  <c r="E11" i="30"/>
  <c r="D12" i="30"/>
  <c r="E12" i="30"/>
  <c r="D13" i="30"/>
  <c r="E13" i="30"/>
  <c r="D14" i="30"/>
  <c r="E14" i="30"/>
  <c r="D15" i="30"/>
  <c r="E15" i="30"/>
  <c r="E9" i="30"/>
  <c r="D9" i="30"/>
  <c r="B10" i="30"/>
  <c r="B11" i="30"/>
  <c r="B12" i="30"/>
  <c r="B13" i="30"/>
  <c r="B14" i="30"/>
  <c r="B15" i="30"/>
  <c r="B9" i="30"/>
  <c r="F10" i="31"/>
  <c r="J10" i="31" s="1"/>
  <c r="K10" i="31" s="1"/>
  <c r="K8" i="30" s="1"/>
  <c r="F9" i="31"/>
  <c r="J9" i="31" s="1"/>
  <c r="H15" i="30" s="1"/>
  <c r="F8" i="31"/>
  <c r="J8" i="31" s="1"/>
  <c r="H14" i="30" s="1"/>
  <c r="F7" i="31"/>
  <c r="J7" i="31" s="1"/>
  <c r="K7" i="31" s="1"/>
  <c r="K13" i="30" s="1"/>
  <c r="F6" i="31"/>
  <c r="J6" i="31" s="1"/>
  <c r="H12" i="30" s="1"/>
  <c r="F5" i="31"/>
  <c r="J5" i="31" s="1"/>
  <c r="H11" i="30" s="1"/>
  <c r="F4" i="31"/>
  <c r="J4" i="31" s="1"/>
  <c r="K4" i="31" s="1"/>
  <c r="K10" i="30" s="1"/>
  <c r="F3" i="31"/>
  <c r="J3" i="31" s="1"/>
  <c r="H9" i="30" s="1"/>
  <c r="E38" i="28"/>
  <c r="F3" i="28"/>
  <c r="G3" i="28" s="1"/>
  <c r="H3" i="28" s="1"/>
  <c r="I3" i="28" s="1"/>
  <c r="J3" i="28" s="1"/>
  <c r="K3" i="28" s="1"/>
  <c r="F25" i="27"/>
  <c r="G25" i="27"/>
  <c r="H25" i="27"/>
  <c r="I25" i="27"/>
  <c r="E25" i="27"/>
  <c r="B25" i="27"/>
  <c r="F33" i="27"/>
  <c r="G33" i="27"/>
  <c r="H33" i="27"/>
  <c r="I33" i="27"/>
  <c r="E33" i="27"/>
  <c r="E29" i="27"/>
  <c r="F29" i="27"/>
  <c r="G29" i="27"/>
  <c r="H29" i="27"/>
  <c r="I29" i="27"/>
  <c r="E30" i="27"/>
  <c r="F30" i="27"/>
  <c r="G30" i="27"/>
  <c r="H30" i="27"/>
  <c r="I30" i="27"/>
  <c r="F28" i="27"/>
  <c r="G28" i="27"/>
  <c r="H28" i="27"/>
  <c r="I28" i="27"/>
  <c r="E28" i="27"/>
  <c r="F27" i="27"/>
  <c r="G27" i="27"/>
  <c r="H27" i="27"/>
  <c r="I27" i="27"/>
  <c r="E27" i="27"/>
  <c r="E26" i="27"/>
  <c r="F26" i="27"/>
  <c r="G26" i="27"/>
  <c r="H26" i="27"/>
  <c r="I26" i="27"/>
  <c r="F24" i="27"/>
  <c r="G24" i="27"/>
  <c r="H24" i="27"/>
  <c r="I24" i="27"/>
  <c r="E24" i="27"/>
  <c r="F23" i="27"/>
  <c r="G23" i="27"/>
  <c r="H23" i="27"/>
  <c r="I23" i="27"/>
  <c r="E23" i="27"/>
  <c r="F22" i="27"/>
  <c r="G22" i="27"/>
  <c r="H22" i="27"/>
  <c r="I22" i="27"/>
  <c r="E22" i="27"/>
  <c r="E15" i="27"/>
  <c r="F15" i="27"/>
  <c r="G15" i="27"/>
  <c r="H15" i="27"/>
  <c r="I15" i="27"/>
  <c r="E16" i="27"/>
  <c r="F16" i="27"/>
  <c r="G16" i="27"/>
  <c r="H16" i="27"/>
  <c r="I16" i="27"/>
  <c r="F14" i="27"/>
  <c r="G14" i="27"/>
  <c r="H14" i="27"/>
  <c r="I14" i="27"/>
  <c r="E14" i="27"/>
  <c r="B15" i="27"/>
  <c r="B16" i="27"/>
  <c r="B14" i="27"/>
  <c r="E10" i="27"/>
  <c r="F10" i="27"/>
  <c r="G10" i="27"/>
  <c r="H10" i="27"/>
  <c r="I10" i="27"/>
  <c r="F9" i="27"/>
  <c r="G9" i="27"/>
  <c r="H9" i="27"/>
  <c r="I9" i="27"/>
  <c r="E9" i="27"/>
  <c r="E8" i="27"/>
  <c r="F8" i="27"/>
  <c r="G8" i="27"/>
  <c r="H8" i="27"/>
  <c r="I8" i="27"/>
  <c r="F7" i="27"/>
  <c r="G7" i="27"/>
  <c r="H7" i="27"/>
  <c r="I7" i="27"/>
  <c r="E7" i="27"/>
  <c r="B10" i="27"/>
  <c r="B9" i="27"/>
  <c r="B8" i="27"/>
  <c r="B7" i="27"/>
  <c r="F4" i="27"/>
  <c r="G4" i="27"/>
  <c r="H4" i="27"/>
  <c r="I4" i="27"/>
  <c r="E4" i="27"/>
  <c r="K75" i="11"/>
  <c r="J147" i="1" s="1"/>
  <c r="J75" i="11"/>
  <c r="I143" i="1" s="1"/>
  <c r="I75" i="11"/>
  <c r="H147" i="1" s="1"/>
  <c r="H75" i="11"/>
  <c r="G144" i="1" s="1"/>
  <c r="G75" i="11"/>
  <c r="F147" i="1" s="1"/>
  <c r="F75" i="11"/>
  <c r="E146" i="1" s="1"/>
  <c r="E75" i="11"/>
  <c r="D144" i="1" s="1"/>
  <c r="D75" i="11"/>
  <c r="F141" i="1" s="1"/>
  <c r="C75" i="11"/>
  <c r="E141" i="1" s="1"/>
  <c r="B75" i="11"/>
  <c r="D141" i="1" s="1"/>
  <c r="K74" i="11"/>
  <c r="J74" i="11"/>
  <c r="I74" i="11"/>
  <c r="H74" i="11"/>
  <c r="G74" i="11"/>
  <c r="F74" i="11"/>
  <c r="E74" i="11"/>
  <c r="D74" i="11"/>
  <c r="C74" i="11"/>
  <c r="B74" i="1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E136" i="1"/>
  <c r="F136" i="1"/>
  <c r="G136" i="1"/>
  <c r="H136" i="1"/>
  <c r="I136" i="1"/>
  <c r="J136" i="1"/>
  <c r="D136" i="1"/>
  <c r="E135" i="1"/>
  <c r="F135" i="1"/>
  <c r="G135" i="1"/>
  <c r="H135" i="1"/>
  <c r="I135" i="1"/>
  <c r="J135" i="1"/>
  <c r="D135" i="1"/>
  <c r="B147" i="1"/>
  <c r="B148" i="1"/>
  <c r="B146" i="1"/>
  <c r="B137" i="1"/>
  <c r="B138" i="1"/>
  <c r="B139" i="1"/>
  <c r="B142" i="1"/>
  <c r="B143" i="1"/>
  <c r="B144" i="1"/>
  <c r="B145" i="1"/>
  <c r="B136" i="1"/>
  <c r="E133" i="1"/>
  <c r="F133" i="1"/>
  <c r="G133" i="1"/>
  <c r="H133" i="1"/>
  <c r="I133" i="1"/>
  <c r="J133" i="1"/>
  <c r="D133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E115" i="1"/>
  <c r="F115" i="1"/>
  <c r="G115" i="1"/>
  <c r="H115" i="1"/>
  <c r="I115" i="1"/>
  <c r="J115" i="1"/>
  <c r="D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15" i="1"/>
  <c r="J113" i="1"/>
  <c r="I113" i="1"/>
  <c r="E113" i="1"/>
  <c r="F113" i="1"/>
  <c r="G113" i="1"/>
  <c r="H113" i="1"/>
  <c r="D113" i="1"/>
  <c r="F10" i="25"/>
  <c r="F12" i="25" s="1"/>
  <c r="J23" i="22" s="1"/>
  <c r="C32" i="22"/>
  <c r="D30" i="22" s="1"/>
  <c r="E15" i="22"/>
  <c r="E14" i="22"/>
  <c r="E13" i="22"/>
  <c r="E12" i="22"/>
  <c r="E11" i="22"/>
  <c r="D15" i="22"/>
  <c r="D14" i="22"/>
  <c r="D13" i="22"/>
  <c r="D12" i="22"/>
  <c r="D11" i="22"/>
  <c r="O10" i="23"/>
  <c r="K7" i="23" s="1"/>
  <c r="K13" i="23" s="1"/>
  <c r="F11" i="30" l="1"/>
  <c r="P11" i="30" s="1"/>
  <c r="G11" i="22"/>
  <c r="J11" i="22" s="1"/>
  <c r="H14" i="22"/>
  <c r="G141" i="1"/>
  <c r="D142" i="1"/>
  <c r="F8" i="30"/>
  <c r="P8" i="30" s="1"/>
  <c r="H11" i="22"/>
  <c r="F144" i="1"/>
  <c r="H13" i="22"/>
  <c r="D143" i="1"/>
  <c r="H12" i="22"/>
  <c r="F145" i="1"/>
  <c r="F13" i="30"/>
  <c r="P13" i="30" s="1"/>
  <c r="D146" i="1"/>
  <c r="D148" i="1"/>
  <c r="N15" i="30"/>
  <c r="H8" i="30"/>
  <c r="N8" i="30" s="1"/>
  <c r="G15" i="22"/>
  <c r="J15" i="22" s="1"/>
  <c r="H145" i="1"/>
  <c r="I148" i="1"/>
  <c r="D147" i="1"/>
  <c r="N29" i="30"/>
  <c r="I145" i="1"/>
  <c r="H15" i="22"/>
  <c r="J145" i="1"/>
  <c r="J148" i="1"/>
  <c r="D145" i="1"/>
  <c r="K9" i="31"/>
  <c r="K15" i="30" s="1"/>
  <c r="O15" i="30" s="1"/>
  <c r="H148" i="1"/>
  <c r="J142" i="1"/>
  <c r="I142" i="1"/>
  <c r="G12" i="22"/>
  <c r="J12" i="22" s="1"/>
  <c r="K8" i="31"/>
  <c r="K14" i="30" s="1"/>
  <c r="O14" i="30" s="1"/>
  <c r="G13" i="22"/>
  <c r="J13" i="22" s="1"/>
  <c r="G14" i="22"/>
  <c r="J14" i="22" s="1"/>
  <c r="E145" i="1"/>
  <c r="J143" i="1"/>
  <c r="F14" i="30"/>
  <c r="P14" i="30" s="1"/>
  <c r="N11" i="30"/>
  <c r="N9" i="30"/>
  <c r="N12" i="30"/>
  <c r="N14" i="30"/>
  <c r="O27" i="30"/>
  <c r="P27" i="30" s="1"/>
  <c r="N27" i="30"/>
  <c r="E147" i="1"/>
  <c r="G145" i="1"/>
  <c r="H142" i="1"/>
  <c r="H143" i="1"/>
  <c r="E142" i="1"/>
  <c r="I146" i="1"/>
  <c r="H13" i="30"/>
  <c r="E143" i="1"/>
  <c r="I147" i="1"/>
  <c r="K5" i="31"/>
  <c r="K11" i="30" s="1"/>
  <c r="O11" i="30" s="1"/>
  <c r="E144" i="1"/>
  <c r="D31" i="22"/>
  <c r="D34" i="22" s="1"/>
  <c r="G142" i="1"/>
  <c r="J141" i="1"/>
  <c r="J144" i="1"/>
  <c r="H146" i="1"/>
  <c r="K3" i="31"/>
  <c r="K9" i="30" s="1"/>
  <c r="O9" i="30" s="1"/>
  <c r="H141" i="1"/>
  <c r="I144" i="1"/>
  <c r="G146" i="1"/>
  <c r="H144" i="1"/>
  <c r="F146" i="1"/>
  <c r="G147" i="1"/>
  <c r="K6" i="31"/>
  <c r="K12" i="30" s="1"/>
  <c r="O12" i="30" s="1"/>
  <c r="H10" i="30"/>
  <c r="O29" i="30"/>
  <c r="G148" i="1"/>
  <c r="F148" i="1"/>
  <c r="E148" i="1"/>
  <c r="F32" i="27"/>
  <c r="F34" i="27" s="1"/>
  <c r="F142" i="1"/>
  <c r="G143" i="1"/>
  <c r="J146" i="1"/>
  <c r="F143" i="1"/>
  <c r="I141" i="1"/>
  <c r="J22" i="32"/>
  <c r="I32" i="32"/>
  <c r="F9" i="30"/>
  <c r="P9" i="30" s="1"/>
  <c r="F15" i="30"/>
  <c r="P15" i="30" s="1"/>
  <c r="F12" i="30"/>
  <c r="P12" i="30" s="1"/>
  <c r="F10" i="30"/>
  <c r="P10" i="30" s="1"/>
  <c r="H32" i="27"/>
  <c r="H34" i="27" s="1"/>
  <c r="G32" i="27"/>
  <c r="G34" i="27" s="1"/>
  <c r="E32" i="27"/>
  <c r="E34" i="27" s="1"/>
  <c r="I32" i="27"/>
  <c r="I34" i="27" s="1"/>
  <c r="F17" i="27"/>
  <c r="I11" i="27"/>
  <c r="G11" i="27"/>
  <c r="E11" i="27"/>
  <c r="H11" i="27"/>
  <c r="F11" i="27"/>
  <c r="G17" i="27"/>
  <c r="E17" i="27"/>
  <c r="H17" i="27"/>
  <c r="I17" i="27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32" i="22"/>
  <c r="E32" i="22" s="1"/>
  <c r="I18" i="22"/>
  <c r="I17" i="22"/>
  <c r="F18" i="22"/>
  <c r="E23" i="22" s="1"/>
  <c r="E24" i="22" s="1"/>
  <c r="I37" i="22" s="1"/>
  <c r="F17" i="22"/>
  <c r="H4" i="20"/>
  <c r="G4" i="20"/>
  <c r="F4" i="20"/>
  <c r="E4" i="20"/>
  <c r="D4" i="20"/>
  <c r="C4" i="20"/>
  <c r="J106" i="1"/>
  <c r="I106" i="1"/>
  <c r="H106" i="1"/>
  <c r="G106" i="1"/>
  <c r="F106" i="1"/>
  <c r="E106" i="1"/>
  <c r="D106" i="1"/>
  <c r="J96" i="1"/>
  <c r="I96" i="1"/>
  <c r="H96" i="1"/>
  <c r="G96" i="1"/>
  <c r="F96" i="1"/>
  <c r="E96" i="1"/>
  <c r="D96" i="1"/>
  <c r="J85" i="1"/>
  <c r="I85" i="1"/>
  <c r="H85" i="1"/>
  <c r="G85" i="1"/>
  <c r="F85" i="1"/>
  <c r="E85" i="1"/>
  <c r="D85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J11" i="1"/>
  <c r="I13" i="32" s="1"/>
  <c r="I11" i="1"/>
  <c r="H13" i="32" s="1"/>
  <c r="H11" i="1"/>
  <c r="G13" i="32" s="1"/>
  <c r="G11" i="1"/>
  <c r="F13" i="32" s="1"/>
  <c r="F11" i="1"/>
  <c r="E13" i="32" s="1"/>
  <c r="E11" i="1"/>
  <c r="D11" i="1"/>
  <c r="J95" i="1"/>
  <c r="I95" i="1"/>
  <c r="H95" i="1"/>
  <c r="G95" i="1"/>
  <c r="F95" i="1"/>
  <c r="E95" i="1"/>
  <c r="D95" i="1"/>
  <c r="J94" i="1"/>
  <c r="I94" i="1"/>
  <c r="H94" i="1"/>
  <c r="G94" i="1"/>
  <c r="F94" i="1"/>
  <c r="E94" i="1"/>
  <c r="D94" i="1"/>
  <c r="J93" i="1"/>
  <c r="I93" i="1"/>
  <c r="H93" i="1"/>
  <c r="G93" i="1"/>
  <c r="F93" i="1"/>
  <c r="E93" i="1"/>
  <c r="D93" i="1"/>
  <c r="J92" i="1"/>
  <c r="I92" i="1"/>
  <c r="H92" i="1"/>
  <c r="G92" i="1"/>
  <c r="F92" i="1"/>
  <c r="E92" i="1"/>
  <c r="D92" i="1"/>
  <c r="J91" i="1"/>
  <c r="I91" i="1"/>
  <c r="H91" i="1"/>
  <c r="G91" i="1"/>
  <c r="F91" i="1"/>
  <c r="E91" i="1"/>
  <c r="D91" i="1"/>
  <c r="J90" i="1"/>
  <c r="I90" i="1"/>
  <c r="H90" i="1"/>
  <c r="G90" i="1"/>
  <c r="F90" i="1"/>
  <c r="E90" i="1"/>
  <c r="D90" i="1"/>
  <c r="J89" i="1"/>
  <c r="I89" i="1"/>
  <c r="H89" i="1"/>
  <c r="G89" i="1"/>
  <c r="F89" i="1"/>
  <c r="E89" i="1"/>
  <c r="D89" i="1"/>
  <c r="J88" i="1"/>
  <c r="I88" i="1"/>
  <c r="H88" i="1"/>
  <c r="G88" i="1"/>
  <c r="F88" i="1"/>
  <c r="E88" i="1"/>
  <c r="D88" i="1"/>
  <c r="J62" i="1"/>
  <c r="I62" i="1"/>
  <c r="H62" i="1"/>
  <c r="G62" i="1"/>
  <c r="F62" i="1"/>
  <c r="E62" i="1"/>
  <c r="D62" i="1"/>
  <c r="J67" i="1"/>
  <c r="N59" i="32" s="1"/>
  <c r="I67" i="1"/>
  <c r="H67" i="1"/>
  <c r="G67" i="1"/>
  <c r="F67" i="1"/>
  <c r="E67" i="1"/>
  <c r="D67" i="1"/>
  <c r="J66" i="1"/>
  <c r="I66" i="1"/>
  <c r="H66" i="1"/>
  <c r="G66" i="1"/>
  <c r="F66" i="1"/>
  <c r="E66" i="1"/>
  <c r="D66" i="1"/>
  <c r="J65" i="1"/>
  <c r="I65" i="1"/>
  <c r="H65" i="1"/>
  <c r="G65" i="1"/>
  <c r="F65" i="1"/>
  <c r="E65" i="1"/>
  <c r="D65" i="1"/>
  <c r="D59" i="1"/>
  <c r="J61" i="1"/>
  <c r="I61" i="1"/>
  <c r="H61" i="1"/>
  <c r="G61" i="1"/>
  <c r="F61" i="1"/>
  <c r="E61" i="1"/>
  <c r="D61" i="1"/>
  <c r="J60" i="1"/>
  <c r="I60" i="1"/>
  <c r="H60" i="1"/>
  <c r="G60" i="1"/>
  <c r="F60" i="1"/>
  <c r="E60" i="1"/>
  <c r="D60" i="1"/>
  <c r="J59" i="1"/>
  <c r="I59" i="1"/>
  <c r="H59" i="1"/>
  <c r="G59" i="1"/>
  <c r="F59" i="1"/>
  <c r="E59" i="1"/>
  <c r="J57" i="1"/>
  <c r="I57" i="1"/>
  <c r="H57" i="1"/>
  <c r="G57" i="1"/>
  <c r="F57" i="1"/>
  <c r="E57" i="1"/>
  <c r="D57" i="1"/>
  <c r="J56" i="1"/>
  <c r="I56" i="1"/>
  <c r="H56" i="1"/>
  <c r="G56" i="1"/>
  <c r="F56" i="1"/>
  <c r="E56" i="1"/>
  <c r="D56" i="1"/>
  <c r="J55" i="1"/>
  <c r="I55" i="1"/>
  <c r="H55" i="1"/>
  <c r="G55" i="1"/>
  <c r="F55" i="1"/>
  <c r="E55" i="1"/>
  <c r="D55" i="1"/>
  <c r="J54" i="1"/>
  <c r="I54" i="1"/>
  <c r="H54" i="1"/>
  <c r="G54" i="1"/>
  <c r="F54" i="1"/>
  <c r="E54" i="1"/>
  <c r="D54" i="1"/>
  <c r="J53" i="1"/>
  <c r="I53" i="1"/>
  <c r="H53" i="1"/>
  <c r="G53" i="1"/>
  <c r="F53" i="1"/>
  <c r="E53" i="1"/>
  <c r="D53" i="1"/>
  <c r="J46" i="1"/>
  <c r="I46" i="1"/>
  <c r="H46" i="1"/>
  <c r="G46" i="1"/>
  <c r="F46" i="1"/>
  <c r="E46" i="1"/>
  <c r="D46" i="1"/>
  <c r="J41" i="1"/>
  <c r="I41" i="1"/>
  <c r="H41" i="1"/>
  <c r="G41" i="1"/>
  <c r="F41" i="1"/>
  <c r="E41" i="1"/>
  <c r="D41" i="1"/>
  <c r="J35" i="1"/>
  <c r="I19" i="32" s="1"/>
  <c r="I35" i="1"/>
  <c r="H19" i="32" s="1"/>
  <c r="H35" i="1"/>
  <c r="G19" i="32" s="1"/>
  <c r="G35" i="1"/>
  <c r="F19" i="32" s="1"/>
  <c r="F35" i="1"/>
  <c r="E19" i="32" s="1"/>
  <c r="E35" i="1"/>
  <c r="D35" i="1"/>
  <c r="J29" i="1"/>
  <c r="I29" i="1"/>
  <c r="H29" i="1"/>
  <c r="G29" i="1"/>
  <c r="F29" i="1"/>
  <c r="E29" i="1"/>
  <c r="D29" i="1"/>
  <c r="J26" i="1"/>
  <c r="I26" i="1"/>
  <c r="H26" i="1"/>
  <c r="G26" i="1"/>
  <c r="F26" i="1"/>
  <c r="E26" i="1"/>
  <c r="D26" i="1"/>
  <c r="J20" i="1"/>
  <c r="I20" i="1"/>
  <c r="H20" i="1"/>
  <c r="G20" i="1"/>
  <c r="F20" i="1"/>
  <c r="E20" i="1"/>
  <c r="D20" i="1"/>
  <c r="D14" i="1"/>
  <c r="E14" i="1"/>
  <c r="F14" i="1"/>
  <c r="G14" i="1"/>
  <c r="H14" i="1"/>
  <c r="I14" i="1"/>
  <c r="J14" i="1"/>
  <c r="B11" i="1"/>
  <c r="E8" i="1"/>
  <c r="F8" i="1"/>
  <c r="G8" i="1"/>
  <c r="H8" i="1"/>
  <c r="I8" i="1"/>
  <c r="J8" i="1"/>
  <c r="D8" i="1"/>
  <c r="I26" i="32" l="1"/>
  <c r="I27" i="32" s="1"/>
  <c r="H17" i="22"/>
  <c r="E26" i="32"/>
  <c r="O8" i="30"/>
  <c r="P22" i="30"/>
  <c r="J18" i="22"/>
  <c r="J29" i="22" s="1"/>
  <c r="F26" i="32"/>
  <c r="F27" i="32" s="1"/>
  <c r="G26" i="32"/>
  <c r="G27" i="32" s="1"/>
  <c r="H26" i="32"/>
  <c r="H27" i="32" s="1"/>
  <c r="P19" i="30"/>
  <c r="I23" i="32"/>
  <c r="I24" i="32" s="1"/>
  <c r="I43" i="27"/>
  <c r="I33" i="32"/>
  <c r="D74" i="32"/>
  <c r="I14" i="32"/>
  <c r="I34" i="32" s="1"/>
  <c r="O10" i="30"/>
  <c r="N10" i="30"/>
  <c r="E39" i="32"/>
  <c r="L71" i="32" a="1"/>
  <c r="G39" i="32"/>
  <c r="H39" i="32"/>
  <c r="E39" i="28"/>
  <c r="N60" i="32"/>
  <c r="I39" i="32"/>
  <c r="D70" i="32"/>
  <c r="E33" i="32"/>
  <c r="E30" i="32"/>
  <c r="F23" i="32"/>
  <c r="F24" i="32" s="1"/>
  <c r="F43" i="27"/>
  <c r="D71" i="32"/>
  <c r="F33" i="32"/>
  <c r="F14" i="32"/>
  <c r="F34" i="32" s="1"/>
  <c r="J31" i="22"/>
  <c r="P21" i="30"/>
  <c r="P18" i="30"/>
  <c r="G23" i="32"/>
  <c r="G24" i="32" s="1"/>
  <c r="G43" i="27"/>
  <c r="G14" i="32"/>
  <c r="G34" i="32" s="1"/>
  <c r="D72" i="32"/>
  <c r="G33" i="32"/>
  <c r="F39" i="32"/>
  <c r="E23" i="32"/>
  <c r="E43" i="27"/>
  <c r="H23" i="32"/>
  <c r="H24" i="32" s="1"/>
  <c r="H43" i="27"/>
  <c r="H33" i="32"/>
  <c r="D73" i="32"/>
  <c r="H14" i="32"/>
  <c r="H34" i="32" s="1"/>
  <c r="D34" i="20"/>
  <c r="P20" i="30"/>
  <c r="P28" i="30" s="1"/>
  <c r="P31" i="30" s="1"/>
  <c r="P34" i="30" s="1" a="1"/>
  <c r="P34" i="30" s="1"/>
  <c r="N13" i="30"/>
  <c r="O13" i="30"/>
  <c r="P17" i="30"/>
  <c r="K22" i="32"/>
  <c r="J32" i="32"/>
  <c r="H9" i="20"/>
  <c r="G28" i="20"/>
  <c r="C34" i="20"/>
  <c r="I19" i="27"/>
  <c r="F19" i="27"/>
  <c r="E19" i="27"/>
  <c r="E36" i="27" s="1"/>
  <c r="H19" i="27"/>
  <c r="G19" i="27"/>
  <c r="D26" i="20"/>
  <c r="D30" i="20" s="1"/>
  <c r="E28" i="20"/>
  <c r="F26" i="20"/>
  <c r="F30" i="20" s="1"/>
  <c r="C9" i="20"/>
  <c r="F68" i="1"/>
  <c r="F28" i="20"/>
  <c r="E26" i="20"/>
  <c r="E30" i="20" s="1"/>
  <c r="C28" i="20"/>
  <c r="G27" i="20"/>
  <c r="H28" i="20"/>
  <c r="E32" i="20"/>
  <c r="E63" i="1"/>
  <c r="F34" i="20"/>
  <c r="D63" i="1"/>
  <c r="G32" i="20"/>
  <c r="F9" i="20"/>
  <c r="G63" i="1"/>
  <c r="D68" i="1"/>
  <c r="I68" i="1"/>
  <c r="H34" i="20"/>
  <c r="G26" i="20"/>
  <c r="G30" i="20" s="1"/>
  <c r="E27" i="20"/>
  <c r="C32" i="20"/>
  <c r="F27" i="20"/>
  <c r="D32" i="20"/>
  <c r="D9" i="20"/>
  <c r="G68" i="1"/>
  <c r="E9" i="20"/>
  <c r="F63" i="1"/>
  <c r="H68" i="1"/>
  <c r="H63" i="1"/>
  <c r="E68" i="1"/>
  <c r="J68" i="1"/>
  <c r="I63" i="1"/>
  <c r="D28" i="20"/>
  <c r="G9" i="20"/>
  <c r="E34" i="20"/>
  <c r="C27" i="20"/>
  <c r="D27" i="20"/>
  <c r="H108" i="1"/>
  <c r="H32" i="20"/>
  <c r="H26" i="20"/>
  <c r="H30" i="20" s="1"/>
  <c r="J63" i="1"/>
  <c r="F32" i="20"/>
  <c r="H27" i="20"/>
  <c r="G34" i="20"/>
  <c r="C26" i="20"/>
  <c r="C30" i="20" s="1"/>
  <c r="G18" i="22"/>
  <c r="J17" i="22"/>
  <c r="G17" i="22"/>
  <c r="H18" i="22"/>
  <c r="E30" i="22" s="1"/>
  <c r="O7" i="23"/>
  <c r="O6" i="23"/>
  <c r="E108" i="1"/>
  <c r="I108" i="1"/>
  <c r="J108" i="1"/>
  <c r="F108" i="1"/>
  <c r="G108" i="1"/>
  <c r="D108" i="1"/>
  <c r="E30" i="1"/>
  <c r="C18" i="20" s="1"/>
  <c r="D30" i="1"/>
  <c r="H12" i="1"/>
  <c r="F6" i="20" s="1"/>
  <c r="G12" i="1"/>
  <c r="E6" i="20" s="1"/>
  <c r="F21" i="1"/>
  <c r="D17" i="20" s="1"/>
  <c r="G21" i="1"/>
  <c r="E17" i="20" s="1"/>
  <c r="H21" i="1"/>
  <c r="F17" i="20" s="1"/>
  <c r="I15" i="1"/>
  <c r="I21" i="1"/>
  <c r="G17" i="20" s="1"/>
  <c r="F30" i="1"/>
  <c r="D18" i="20" s="1"/>
  <c r="D17" i="1"/>
  <c r="D18" i="1" s="1"/>
  <c r="H15" i="1"/>
  <c r="G30" i="1"/>
  <c r="E18" i="20" s="1"/>
  <c r="E17" i="1"/>
  <c r="E18" i="1" s="1"/>
  <c r="C11" i="20" s="1"/>
  <c r="J15" i="1"/>
  <c r="F12" i="1"/>
  <c r="D6" i="20" s="1"/>
  <c r="I30" i="1"/>
  <c r="G18" i="20" s="1"/>
  <c r="J30" i="1"/>
  <c r="H18" i="20" s="1"/>
  <c r="J21" i="1"/>
  <c r="H17" i="20" s="1"/>
  <c r="D27" i="1"/>
  <c r="E27" i="1"/>
  <c r="F27" i="1"/>
  <c r="D21" i="1"/>
  <c r="G27" i="1"/>
  <c r="E21" i="1"/>
  <c r="C17" i="20" s="1"/>
  <c r="H27" i="1"/>
  <c r="G15" i="1"/>
  <c r="H30" i="1"/>
  <c r="F18" i="20" s="1"/>
  <c r="F17" i="1"/>
  <c r="I27" i="1"/>
  <c r="E15" i="1"/>
  <c r="J12" i="1"/>
  <c r="H6" i="20" s="1"/>
  <c r="D15" i="1"/>
  <c r="E12" i="1"/>
  <c r="C6" i="20" s="1"/>
  <c r="H17" i="1"/>
  <c r="I17" i="1"/>
  <c r="J27" i="1"/>
  <c r="J17" i="1"/>
  <c r="I12" i="1"/>
  <c r="G6" i="20" s="1"/>
  <c r="F15" i="1"/>
  <c r="G17" i="1"/>
  <c r="E1" i="11"/>
  <c r="B6" i="11"/>
  <c r="F70" i="1" l="1"/>
  <c r="F72" i="1" s="1"/>
  <c r="F85" i="32" a="1"/>
  <c r="F88" i="32" s="1"/>
  <c r="E27" i="32"/>
  <c r="O20" i="30"/>
  <c r="O26" i="30" s="1"/>
  <c r="O28" i="30" s="1"/>
  <c r="O31" i="30" s="1"/>
  <c r="O34" i="30" s="1" a="1"/>
  <c r="O34" i="30" s="1"/>
  <c r="E74" i="32"/>
  <c r="O18" i="30"/>
  <c r="E73" i="32"/>
  <c r="O21" i="30"/>
  <c r="O19" i="30"/>
  <c r="P26" i="30"/>
  <c r="N20" i="30"/>
  <c r="N26" i="30" s="1"/>
  <c r="N28" i="30" s="1"/>
  <c r="N31" i="30" s="1"/>
  <c r="N34" i="30" s="1" a="1"/>
  <c r="N34" i="30" s="1"/>
  <c r="D78" i="32"/>
  <c r="D79" i="32"/>
  <c r="D77" i="32"/>
  <c r="D75" i="32"/>
  <c r="D76" i="32"/>
  <c r="F36" i="27"/>
  <c r="F44" i="27"/>
  <c r="F29" i="32" s="1"/>
  <c r="F30" i="32" s="1"/>
  <c r="N17" i="30"/>
  <c r="J37" i="22"/>
  <c r="N21" i="30"/>
  <c r="N19" i="30"/>
  <c r="O17" i="30"/>
  <c r="N22" i="30"/>
  <c r="N18" i="30"/>
  <c r="E31" i="22"/>
  <c r="J38" i="22" s="1"/>
  <c r="G36" i="27"/>
  <c r="G44" i="27"/>
  <c r="G29" i="32" s="1"/>
  <c r="G30" i="32" s="1"/>
  <c r="E72" i="32"/>
  <c r="O22" i="30"/>
  <c r="L74" i="32"/>
  <c r="L73" i="32"/>
  <c r="L72" i="32"/>
  <c r="L75" i="32"/>
  <c r="L71" i="32"/>
  <c r="I36" i="27"/>
  <c r="I44" i="27"/>
  <c r="I29" i="32" s="1"/>
  <c r="N62" i="32"/>
  <c r="E41" i="28"/>
  <c r="C85" i="32" a="1"/>
  <c r="E24" i="32"/>
  <c r="E71" i="32"/>
  <c r="H36" i="27"/>
  <c r="H44" i="27"/>
  <c r="H29" i="32" s="1"/>
  <c r="H30" i="32" s="1"/>
  <c r="L22" i="32"/>
  <c r="K32" i="32"/>
  <c r="K27" i="20"/>
  <c r="J28" i="20"/>
  <c r="K9" i="20"/>
  <c r="J70" i="1"/>
  <c r="J72" i="1" s="1"/>
  <c r="E70" i="1"/>
  <c r="E72" i="1" s="1"/>
  <c r="J34" i="20"/>
  <c r="I70" i="1"/>
  <c r="I72" i="1" s="1"/>
  <c r="D70" i="1"/>
  <c r="D72" i="1" s="1"/>
  <c r="G70" i="1"/>
  <c r="G72" i="1" s="1"/>
  <c r="J27" i="20"/>
  <c r="J9" i="20"/>
  <c r="K28" i="20"/>
  <c r="H70" i="1"/>
  <c r="K34" i="20"/>
  <c r="J26" i="20"/>
  <c r="J32" i="20"/>
  <c r="K32" i="20"/>
  <c r="K26" i="20"/>
  <c r="J30" i="20"/>
  <c r="K17" i="20"/>
  <c r="J17" i="20"/>
  <c r="J6" i="20"/>
  <c r="K6" i="20"/>
  <c r="K18" i="20"/>
  <c r="J18" i="20"/>
  <c r="K30" i="20"/>
  <c r="D23" i="1"/>
  <c r="G23" i="1"/>
  <c r="G18" i="1"/>
  <c r="E11" i="20" s="1"/>
  <c r="I23" i="1"/>
  <c r="I18" i="1"/>
  <c r="G11" i="20" s="1"/>
  <c r="F23" i="1"/>
  <c r="F18" i="1"/>
  <c r="D11" i="20" s="1"/>
  <c r="J23" i="1"/>
  <c r="J18" i="1"/>
  <c r="H11" i="20" s="1"/>
  <c r="H23" i="1"/>
  <c r="H18" i="1"/>
  <c r="F11" i="20" s="1"/>
  <c r="E23" i="1"/>
  <c r="D33" i="20" l="1"/>
  <c r="F50" i="27"/>
  <c r="E34" i="22"/>
  <c r="J30" i="22" s="1"/>
  <c r="J32" i="22" s="1"/>
  <c r="J24" i="22" s="1"/>
  <c r="F89" i="32"/>
  <c r="F86" i="32"/>
  <c r="F85" i="32"/>
  <c r="F87" i="32"/>
  <c r="E76" i="32"/>
  <c r="I30" i="32"/>
  <c r="J29" i="32"/>
  <c r="G37" i="27"/>
  <c r="G46" i="27" s="1"/>
  <c r="G48" i="27" s="1"/>
  <c r="G16" i="32"/>
  <c r="H33" i="20"/>
  <c r="C89" i="32"/>
  <c r="C87" i="32"/>
  <c r="C85" i="32"/>
  <c r="C86" i="32"/>
  <c r="C88" i="32"/>
  <c r="G50" i="27"/>
  <c r="E75" i="32"/>
  <c r="J13" i="32" a="1"/>
  <c r="H37" i="27"/>
  <c r="H46" i="27" s="1"/>
  <c r="H48" i="27" s="1"/>
  <c r="H16" i="32"/>
  <c r="L78" i="32"/>
  <c r="L79" i="32"/>
  <c r="L76" i="32"/>
  <c r="L77" i="32"/>
  <c r="L80" i="32"/>
  <c r="E79" i="32"/>
  <c r="F37" i="27"/>
  <c r="F46" i="27" s="1"/>
  <c r="F48" i="27" s="1"/>
  <c r="F16" i="32"/>
  <c r="H50" i="27"/>
  <c r="E37" i="27"/>
  <c r="E46" i="27" s="1"/>
  <c r="E48" i="27" s="1"/>
  <c r="E39" i="27" s="1"/>
  <c r="E16" i="32"/>
  <c r="E78" i="32"/>
  <c r="E77" i="32"/>
  <c r="I50" i="27"/>
  <c r="I37" i="27"/>
  <c r="I46" i="27" s="1"/>
  <c r="F5" i="28" s="1"/>
  <c r="I16" i="32"/>
  <c r="L32" i="32"/>
  <c r="M22" i="32"/>
  <c r="C33" i="20"/>
  <c r="G33" i="20"/>
  <c r="E33" i="20"/>
  <c r="H72" i="1"/>
  <c r="F33" i="20"/>
  <c r="K11" i="20"/>
  <c r="C13" i="20"/>
  <c r="C7" i="20"/>
  <c r="C21" i="20"/>
  <c r="D24" i="1"/>
  <c r="E13" i="20"/>
  <c r="E19" i="20" s="1"/>
  <c r="E7" i="20"/>
  <c r="E21" i="20"/>
  <c r="F7" i="20"/>
  <c r="F21" i="20"/>
  <c r="F13" i="20"/>
  <c r="F19" i="20" s="1"/>
  <c r="J11" i="20"/>
  <c r="H7" i="20"/>
  <c r="H21" i="20"/>
  <c r="H13" i="20"/>
  <c r="H19" i="20" s="1"/>
  <c r="D13" i="20"/>
  <c r="D19" i="20" s="1"/>
  <c r="D21" i="20"/>
  <c r="D7" i="20"/>
  <c r="G7" i="20"/>
  <c r="G21" i="20"/>
  <c r="G13" i="20"/>
  <c r="G19" i="20" s="1"/>
  <c r="J24" i="1"/>
  <c r="H12" i="20" s="1"/>
  <c r="F24" i="1"/>
  <c r="D12" i="20" s="1"/>
  <c r="I24" i="1"/>
  <c r="G12" i="20" s="1"/>
  <c r="E24" i="1"/>
  <c r="C12" i="20" s="1"/>
  <c r="G24" i="1"/>
  <c r="E12" i="20" s="1"/>
  <c r="H24" i="1"/>
  <c r="F12" i="20" s="1"/>
  <c r="J25" i="22" l="1"/>
  <c r="I38" i="22" s="1"/>
  <c r="J39" i="22" s="1"/>
  <c r="E26" i="28" s="1"/>
  <c r="F92" i="32"/>
  <c r="F93" i="32"/>
  <c r="F94" i="32"/>
  <c r="F91" i="32"/>
  <c r="F90" i="32"/>
  <c r="I48" i="27"/>
  <c r="I39" i="27" s="1"/>
  <c r="I60" i="27" s="1"/>
  <c r="H36" i="32"/>
  <c r="H17" i="32"/>
  <c r="H37" i="32" s="1"/>
  <c r="H20" i="32"/>
  <c r="H40" i="32" s="1"/>
  <c r="H52" i="27"/>
  <c r="H59" i="27" s="1"/>
  <c r="H39" i="27"/>
  <c r="H60" i="27" s="1"/>
  <c r="G52" i="27"/>
  <c r="G59" i="27" s="1"/>
  <c r="G39" i="27"/>
  <c r="G60" i="27" s="1"/>
  <c r="E36" i="32"/>
  <c r="I71" i="32" a="1"/>
  <c r="E17" i="32"/>
  <c r="E20" i="32"/>
  <c r="G17" i="32"/>
  <c r="G37" i="32" s="1"/>
  <c r="G36" i="32"/>
  <c r="G20" i="32"/>
  <c r="G40" i="32" s="1"/>
  <c r="K13" i="32"/>
  <c r="J13" i="32"/>
  <c r="J14" i="32" s="1"/>
  <c r="L13" i="32"/>
  <c r="M13" i="32"/>
  <c r="N13" i="32"/>
  <c r="F36" i="32"/>
  <c r="F17" i="32"/>
  <c r="F37" i="32" s="1"/>
  <c r="F20" i="32"/>
  <c r="F40" i="32" s="1"/>
  <c r="F52" i="27"/>
  <c r="F39" i="27"/>
  <c r="F60" i="27" s="1"/>
  <c r="I36" i="32"/>
  <c r="I37" i="32" s="1"/>
  <c r="I17" i="32"/>
  <c r="I20" i="32"/>
  <c r="I40" i="32" s="1"/>
  <c r="C91" i="32"/>
  <c r="C93" i="32"/>
  <c r="C94" i="32"/>
  <c r="C92" i="32"/>
  <c r="C90" i="32"/>
  <c r="K29" i="32"/>
  <c r="J19" i="32" a="1"/>
  <c r="K33" i="20"/>
  <c r="N22" i="32"/>
  <c r="N32" i="32" s="1"/>
  <c r="M32" i="32"/>
  <c r="J33" i="20"/>
  <c r="G5" i="28"/>
  <c r="F9" i="28"/>
  <c r="F13" i="28" s="1"/>
  <c r="K21" i="20"/>
  <c r="J21" i="20"/>
  <c r="K7" i="20"/>
  <c r="J7" i="20"/>
  <c r="J12" i="20"/>
  <c r="K12" i="20"/>
  <c r="C19" i="20"/>
  <c r="J13" i="20"/>
  <c r="K13" i="20"/>
  <c r="D36" i="1"/>
  <c r="D33" i="1"/>
  <c r="E33" i="1"/>
  <c r="C14" i="20" s="1"/>
  <c r="E36" i="1"/>
  <c r="I36" i="1"/>
  <c r="I33" i="1"/>
  <c r="G14" i="20" s="1"/>
  <c r="F33" i="1"/>
  <c r="D14" i="20" s="1"/>
  <c r="F36" i="1"/>
  <c r="J36" i="1"/>
  <c r="J33" i="1"/>
  <c r="H14" i="20" s="1"/>
  <c r="H36" i="1"/>
  <c r="H33" i="1"/>
  <c r="F14" i="20" s="1"/>
  <c r="G33" i="1"/>
  <c r="E14" i="20" s="1"/>
  <c r="G36" i="1"/>
  <c r="D43" i="1"/>
  <c r="D39" i="1"/>
  <c r="D9" i="32" l="1"/>
  <c r="L14" i="32"/>
  <c r="L34" i="32" s="1"/>
  <c r="J26" i="32" a="1"/>
  <c r="M26" i="32" s="1"/>
  <c r="M47" i="32" s="1"/>
  <c r="M14" i="32"/>
  <c r="M34" i="32" s="1"/>
  <c r="H62" i="27"/>
  <c r="I52" i="27"/>
  <c r="I59" i="27" s="1"/>
  <c r="I62" i="27" s="1"/>
  <c r="J15" i="28"/>
  <c r="K15" i="28"/>
  <c r="H15" i="28"/>
  <c r="I15" i="28"/>
  <c r="F15" i="28"/>
  <c r="F17" i="28" s="1"/>
  <c r="G15" i="28"/>
  <c r="I72" i="32"/>
  <c r="I74" i="32"/>
  <c r="I75" i="32"/>
  <c r="I71" i="32"/>
  <c r="I73" i="32"/>
  <c r="K14" i="32"/>
  <c r="K34" i="32" s="1"/>
  <c r="J19" i="32"/>
  <c r="K19" i="32"/>
  <c r="N19" i="32"/>
  <c r="M19" i="32"/>
  <c r="L19" i="32"/>
  <c r="J23" i="32" a="1"/>
  <c r="G62" i="27"/>
  <c r="F59" i="27"/>
  <c r="F62" i="27" s="1"/>
  <c r="L29" i="32"/>
  <c r="K30" i="32"/>
  <c r="K51" i="32" s="1"/>
  <c r="K50" i="32"/>
  <c r="J30" i="32"/>
  <c r="J51" i="32" s="1"/>
  <c r="N14" i="32"/>
  <c r="N34" i="32" s="1"/>
  <c r="G9" i="28"/>
  <c r="G13" i="28" s="1"/>
  <c r="H5" i="28"/>
  <c r="E23" i="20"/>
  <c r="E8" i="20"/>
  <c r="J19" i="20"/>
  <c r="K19" i="20"/>
  <c r="G8" i="20"/>
  <c r="G23" i="20"/>
  <c r="J14" i="20"/>
  <c r="K14" i="20"/>
  <c r="H8" i="20"/>
  <c r="H23" i="20"/>
  <c r="D8" i="20"/>
  <c r="D23" i="20"/>
  <c r="F8" i="20"/>
  <c r="F23" i="20"/>
  <c r="C8" i="20"/>
  <c r="C23" i="20"/>
  <c r="D47" i="1"/>
  <c r="D49" i="1" s="1"/>
  <c r="G43" i="1"/>
  <c r="G39" i="1"/>
  <c r="E15" i="20" s="1"/>
  <c r="F43" i="1"/>
  <c r="F39" i="1"/>
  <c r="D15" i="20" s="1"/>
  <c r="H39" i="1"/>
  <c r="F15" i="20" s="1"/>
  <c r="H43" i="1"/>
  <c r="I39" i="1"/>
  <c r="G15" i="20" s="1"/>
  <c r="I43" i="1"/>
  <c r="J39" i="1"/>
  <c r="H15" i="20" s="1"/>
  <c r="J43" i="1"/>
  <c r="E43" i="1"/>
  <c r="E39" i="1"/>
  <c r="C15" i="20" s="1"/>
  <c r="G17" i="28" l="1"/>
  <c r="L26" i="32"/>
  <c r="L47" i="32" s="1"/>
  <c r="K26" i="32"/>
  <c r="K47" i="32" s="1"/>
  <c r="N26" i="32"/>
  <c r="N47" i="32" s="1"/>
  <c r="J26" i="32"/>
  <c r="J47" i="32" s="1"/>
  <c r="I55" i="27"/>
  <c r="I54" i="27"/>
  <c r="I64" i="27"/>
  <c r="N39" i="32"/>
  <c r="K39" i="32"/>
  <c r="J39" i="32"/>
  <c r="M29" i="32"/>
  <c r="L30" i="32"/>
  <c r="L51" i="32" s="1"/>
  <c r="L50" i="32"/>
  <c r="L39" i="32"/>
  <c r="J23" i="32"/>
  <c r="J44" i="32" s="1"/>
  <c r="N23" i="32"/>
  <c r="N44" i="32" s="1"/>
  <c r="M23" i="32"/>
  <c r="M44" i="32" s="1"/>
  <c r="L23" i="32"/>
  <c r="L44" i="32" s="1"/>
  <c r="K23" i="32"/>
  <c r="K44" i="32" s="1"/>
  <c r="M39" i="32"/>
  <c r="I79" i="32"/>
  <c r="I80" i="32"/>
  <c r="I78" i="32"/>
  <c r="I76" i="32"/>
  <c r="I77" i="32"/>
  <c r="I5" i="28"/>
  <c r="H9" i="28"/>
  <c r="H13" i="28" s="1"/>
  <c r="H17" i="28" s="1"/>
  <c r="K15" i="20"/>
  <c r="J15" i="20"/>
  <c r="K23" i="20"/>
  <c r="J23" i="20"/>
  <c r="J8" i="20"/>
  <c r="K8" i="20"/>
  <c r="F44" i="1"/>
  <c r="F47" i="1"/>
  <c r="F49" i="1" s="1"/>
  <c r="D22" i="20" s="1"/>
  <c r="D24" i="20" s="1"/>
  <c r="G44" i="1"/>
  <c r="G47" i="1"/>
  <c r="G49" i="1" s="1"/>
  <c r="E22" i="20" s="1"/>
  <c r="E24" i="20" s="1"/>
  <c r="J44" i="1"/>
  <c r="J47" i="1"/>
  <c r="J49" i="1" s="1"/>
  <c r="H22" i="20" s="1"/>
  <c r="H24" i="20" s="1"/>
  <c r="I47" i="1"/>
  <c r="I49" i="1" s="1"/>
  <c r="G22" i="20" s="1"/>
  <c r="G24" i="20" s="1"/>
  <c r="I44" i="1"/>
  <c r="H44" i="1"/>
  <c r="H47" i="1"/>
  <c r="H49" i="1" s="1"/>
  <c r="F22" i="20" s="1"/>
  <c r="F24" i="20" s="1"/>
  <c r="E44" i="1"/>
  <c r="E47" i="1"/>
  <c r="E49" i="1" s="1"/>
  <c r="C22" i="20" s="1"/>
  <c r="J16" i="32" l="1" a="1"/>
  <c r="N29" i="32"/>
  <c r="M30" i="32"/>
  <c r="M51" i="32" s="1"/>
  <c r="M50" i="32"/>
  <c r="J5" i="28"/>
  <c r="I9" i="28"/>
  <c r="I13" i="28" s="1"/>
  <c r="I17" i="28" s="1"/>
  <c r="J22" i="20"/>
  <c r="K22" i="20"/>
  <c r="C24" i="20"/>
  <c r="N30" i="32" l="1"/>
  <c r="N51" i="32" s="1"/>
  <c r="N50" i="32"/>
  <c r="M16" i="32"/>
  <c r="N16" i="32"/>
  <c r="J16" i="32"/>
  <c r="K16" i="32"/>
  <c r="L16" i="32"/>
  <c r="K5" i="28"/>
  <c r="K9" i="28" s="1"/>
  <c r="K13" i="28" s="1"/>
  <c r="E25" i="28" s="1"/>
  <c r="J9" i="28"/>
  <c r="J13" i="28" s="1"/>
  <c r="J17" i="28" s="1"/>
  <c r="J24" i="20"/>
  <c r="K24" i="20"/>
  <c r="L36" i="32" l="1"/>
  <c r="L42" i="32" s="1"/>
  <c r="L53" i="32" s="1"/>
  <c r="L54" i="32" s="1"/>
  <c r="L20" i="32"/>
  <c r="L40" i="32" s="1"/>
  <c r="K36" i="32"/>
  <c r="K42" i="32" s="1"/>
  <c r="K53" i="32" s="1"/>
  <c r="K54" i="32" s="1"/>
  <c r="K20" i="32"/>
  <c r="K40" i="32" s="1"/>
  <c r="J36" i="32"/>
  <c r="J42" i="32" s="1"/>
  <c r="J20" i="32"/>
  <c r="J40" i="32" s="1"/>
  <c r="N36" i="32"/>
  <c r="N42" i="32" s="1"/>
  <c r="N53" i="32" s="1"/>
  <c r="N20" i="32"/>
  <c r="N40" i="32" s="1"/>
  <c r="M36" i="32"/>
  <c r="M42" i="32" s="1"/>
  <c r="M53" i="32" s="1"/>
  <c r="M54" i="32" s="1"/>
  <c r="M20" i="32"/>
  <c r="M40" i="32" s="1"/>
  <c r="E29" i="28"/>
  <c r="E35" i="28" s="1"/>
  <c r="K17" i="28"/>
  <c r="E34" i="28" s="1"/>
  <c r="N56" i="32" l="1"/>
  <c r="N57" i="32" s="1"/>
  <c r="N54" i="32"/>
  <c r="E36" i="28"/>
  <c r="G24" i="28" l="1"/>
  <c r="E40" i="28"/>
  <c r="E42" i="28" s="1"/>
  <c r="E45" i="28" s="1"/>
  <c r="J50" i="32" l="1"/>
  <c r="J53" i="32" s="1"/>
  <c r="J54" i="32" s="1"/>
  <c r="N58" i="32" s="1"/>
  <c r="N61" i="32" s="1"/>
  <c r="N63" i="32" s="1"/>
  <c r="K27" i="32"/>
  <c r="K48" i="32" s="1"/>
  <c r="M17" i="32"/>
  <c r="M37" i="32" s="1"/>
  <c r="K24" i="32"/>
  <c r="K45" i="32" s="1"/>
  <c r="J24" i="32"/>
  <c r="J45" i="32" s="1"/>
  <c r="M27" i="32"/>
  <c r="M48" i="32" s="1"/>
  <c r="M33" i="32"/>
  <c r="J27" i="32"/>
  <c r="J48" i="32" s="1"/>
  <c r="N24" i="32"/>
  <c r="N45" i="32" s="1"/>
  <c r="K17" i="32"/>
  <c r="K37" i="32" s="1"/>
  <c r="L24" i="32"/>
  <c r="L45" i="32" s="1"/>
  <c r="N27" i="32"/>
  <c r="N48" i="32" s="1"/>
  <c r="N17" i="32"/>
  <c r="N37" i="32" s="1"/>
  <c r="L27" i="32"/>
  <c r="L48" i="32" s="1"/>
  <c r="J34" i="32"/>
  <c r="M24" i="32"/>
  <c r="M45" i="32" s="1"/>
  <c r="L33" i="32"/>
  <c r="L17" i="32"/>
  <c r="L37" i="32" s="1"/>
  <c r="N33" i="32"/>
  <c r="J17" i="32"/>
  <c r="J37" i="32" s="1"/>
  <c r="K33" i="32"/>
  <c r="J33" i="32"/>
  <c r="I65" i="2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<sst xmlns="http://schemas.openxmlformats.org/spreadsheetml/2006/main" count="565" uniqueCount="393">
  <si>
    <t>Depreciation</t>
  </si>
  <si>
    <t>Interest</t>
  </si>
  <si>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</si>
  <si>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</si>
  <si>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</si>
  <si>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</si>
  <si>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</si>
  <si>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</si>
  <si>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</si>
  <si>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</si>
  <si>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</si>
  <si>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</si>
  <si>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</si>
  <si>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</si>
  <si>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</si>
  <si>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</si>
  <si>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</si>
  <si>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</si>
  <si>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</si>
  <si>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</si>
  <si>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</si>
  <si>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</si>
  <si>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</si>
  <si>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</si>
  <si>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</si>
  <si>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</si>
  <si>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</si>
  <si>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Operating Profit</t>
  </si>
  <si>
    <t>Net profit</t>
  </si>
  <si>
    <t>Tax</t>
  </si>
  <si>
    <t>Profit before tax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</si>
  <si>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</si>
  <si>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</si>
  <si>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</si>
  <si>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</si>
  <si>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</si>
  <si>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</si>
  <si>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</si>
  <si>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</si>
  <si>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</si>
  <si>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</si>
  <si>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</si>
  <si>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</si>
  <si>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</si>
  <si>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</si>
  <si>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</si>
  <si>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</si>
  <si>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</si>
  <si>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</si>
  <si>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</si>
  <si>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</si>
  <si>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</si>
  <si>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MARKSANS PHARMA LTD</t>
  </si>
  <si>
    <t>COMPANY NAME</t>
  </si>
  <si>
    <t>Debtor Days</t>
  </si>
  <si>
    <t>Sales Growth</t>
  </si>
  <si>
    <t>EPS</t>
  </si>
  <si>
    <t>YEARS</t>
  </si>
  <si>
    <t>#</t>
  </si>
  <si>
    <t>Income Statement</t>
  </si>
  <si>
    <t>COGS</t>
  </si>
  <si>
    <t>COGS % OF Sales</t>
  </si>
  <si>
    <t>Gross Profit</t>
  </si>
  <si>
    <t>Selling &amp; General Expenses</t>
  </si>
  <si>
    <t>S&amp;G Exp % of Sales</t>
  </si>
  <si>
    <t>EBITDA</t>
  </si>
  <si>
    <t>EBITDA % Of Sales</t>
  </si>
  <si>
    <t>Interest % Of Sales</t>
  </si>
  <si>
    <t>Depriciation</t>
  </si>
  <si>
    <t>Depriciation % Of Sales</t>
  </si>
  <si>
    <t>Gross Profit % Of Sales</t>
  </si>
  <si>
    <t>Earnings Before Tax</t>
  </si>
  <si>
    <t>EBT % Of Sales</t>
  </si>
  <si>
    <t>Effective Tax Rate %</t>
  </si>
  <si>
    <t>Net profit Margin %</t>
  </si>
  <si>
    <t>Dividend Per Share</t>
  </si>
  <si>
    <t>EPS Growth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</si>
  <si>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</si>
  <si>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</si>
  <si>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</si>
  <si>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</si>
  <si>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</si>
  <si>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</si>
  <si>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Non-Current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</si>
  <si>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</si>
  <si>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</si>
  <si>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</si>
  <si>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</si>
  <si>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</si>
  <si>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</si>
  <si>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</si>
  <si>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</si>
  <si>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</si>
  <si>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</si>
  <si>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</si>
  <si>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</si>
  <si>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</si>
  <si>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</si>
  <si>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</si>
  <si>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</si>
  <si>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</si>
  <si>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</si>
  <si>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</si>
  <si>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</si>
  <si>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</si>
  <si>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</si>
  <si>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</si>
  <si>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</si>
  <si>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</si>
  <si>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</si>
  <si>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</si>
  <si>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</si>
  <si>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</si>
  <si>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Operating Activities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</si>
  <si>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</si>
  <si>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</si>
  <si>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</si>
  <si>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</si>
  <si>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</si>
  <si>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EBITDA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</si>
  <si>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</si>
  <si>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</si>
  <si>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</si>
  <si>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</si>
  <si>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</si>
  <si>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</si>
  <si>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</si>
  <si>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</si>
  <si>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</si>
  <si>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</si>
  <si>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</si>
  <si>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</si>
  <si>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</si>
  <si>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</si>
  <si>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</si>
  <si>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Fixed Asset Turnover</t>
  </si>
  <si>
    <t>Capital Turnover Ratio</t>
  </si>
  <si>
    <t>CFO/Sales</t>
  </si>
  <si>
    <t>CFO/Total Assets</t>
  </si>
  <si>
    <t>CFO/Total Debt</t>
  </si>
  <si>
    <t>Years</t>
  </si>
  <si>
    <t>Ratio Analysis of - Marksans Pharma Ltd.</t>
  </si>
  <si>
    <t>Trend</t>
  </si>
  <si>
    <t>Mean</t>
  </si>
  <si>
    <t>Median</t>
  </si>
  <si>
    <t>Year Weight</t>
  </si>
  <si>
    <t>Year</t>
  </si>
  <si>
    <t>Weighted Average Cost of Capital</t>
  </si>
  <si>
    <t>All figures are in INR unless stated otherwise.</t>
  </si>
  <si>
    <t>Peer Comps</t>
  </si>
  <si>
    <t>Debt/</t>
  </si>
  <si>
    <t>Levered</t>
  </si>
  <si>
    <t>Unlevered</t>
  </si>
  <si>
    <t>Name</t>
  </si>
  <si>
    <t>Country</t>
  </si>
  <si>
    <t>Total Debt</t>
  </si>
  <si>
    <t>Total Equity</t>
  </si>
  <si>
    <t>Tax Rate 1</t>
  </si>
  <si>
    <t>Equity</t>
  </si>
  <si>
    <t>Capital</t>
  </si>
  <si>
    <t>India</t>
  </si>
  <si>
    <t>Average</t>
  </si>
  <si>
    <t>Cost of Debt</t>
  </si>
  <si>
    <t>Pre-tax Cost of Debt</t>
  </si>
  <si>
    <t>Tax Rate</t>
  </si>
  <si>
    <t>After Tax Cost of Debt</t>
  </si>
  <si>
    <t>Cost of Equity</t>
  </si>
  <si>
    <t>Risk Free Rate</t>
  </si>
  <si>
    <t>Equity Risk Premium</t>
  </si>
  <si>
    <t>Levered Beta 4</t>
  </si>
  <si>
    <t>Capital Structure</t>
  </si>
  <si>
    <t>Levered Beta</t>
  </si>
  <si>
    <t>Current</t>
  </si>
  <si>
    <t>Target</t>
  </si>
  <si>
    <t>Comps Median Unlevered Beta</t>
  </si>
  <si>
    <t>Target Debt/ Equity</t>
  </si>
  <si>
    <t>Total Capitalization</t>
  </si>
  <si>
    <t>Debt / Equity</t>
  </si>
  <si>
    <t>1. Tax Rate considered as Marginal Tax Rate for the country</t>
  </si>
  <si>
    <t>Total Cost</t>
  </si>
  <si>
    <t>Total Weight</t>
  </si>
  <si>
    <t>2. Levered Beta is based on 5 year monthly data</t>
  </si>
  <si>
    <t>Debt Capital</t>
  </si>
  <si>
    <t>3. Unlevered Beta = Levered Beta/(1+(1-Tax Rate) x Debt/Equity)</t>
  </si>
  <si>
    <t>Equity Capital</t>
  </si>
  <si>
    <t>4. Levered Beta = Unlevered Beta*(1+(1-Tax Rate) x Debt/Equity)</t>
  </si>
  <si>
    <t>Regression Beta - 2 Years Weekly</t>
  </si>
  <si>
    <t>Date</t>
  </si>
  <si>
    <t>Closing Price</t>
  </si>
  <si>
    <t xml:space="preserve"> Returns</t>
  </si>
  <si>
    <t>Return</t>
  </si>
  <si>
    <t>marksan past 2 year weekly returns</t>
  </si>
  <si>
    <t>nifty 50 past 2 year weekly returns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</si>
  <si>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</si>
  <si>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</si>
  <si>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</si>
  <si>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</si>
  <si>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</si>
  <si>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</si>
  <si>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</si>
  <si>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</si>
  <si>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</si>
  <si>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</si>
  <si>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</si>
  <si>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</si>
  <si>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</si>
  <si>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</si>
  <si>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</si>
  <si>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</si>
  <si>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</si>
  <si>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</si>
  <si>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</si>
  <si>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</si>
  <si>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</si>
  <si>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</si>
  <si>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</si>
  <si>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</si>
  <si>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</si>
  <si>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</si>
  <si>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</si>
  <si>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</si>
  <si>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</si>
  <si>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</si>
  <si>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</si>
  <si>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</si>
  <si>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</si>
  <si>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</si>
  <si>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Company</t>
  </si>
  <si>
    <t>Debt / Eq</t>
  </si>
  <si>
    <t>Sun Pharma.Inds.</t>
  </si>
  <si>
    <t>Divi's Lab.</t>
  </si>
  <si>
    <t>Torrent Pharma.</t>
  </si>
  <si>
    <t>Zydus Lifesci.</t>
  </si>
  <si>
    <t>Laurus Labs</t>
  </si>
  <si>
    <t>CMP Rs.</t>
  </si>
  <si>
    <t>Mar Cap Rs.Cr.</t>
  </si>
  <si>
    <t>Debt Rs.Cr.</t>
  </si>
  <si>
    <t xml:space="preserve">Beta </t>
  </si>
  <si>
    <t>(Latest)</t>
  </si>
  <si>
    <t>Annual</t>
  </si>
  <si>
    <t xml:space="preserve">Dividend Yeild </t>
  </si>
  <si>
    <t>Total Market Return</t>
  </si>
  <si>
    <t>Marksans Pharma</t>
  </si>
  <si>
    <t>Particulars</t>
  </si>
  <si>
    <t>Common Size Income Statement</t>
  </si>
  <si>
    <t>Common Size Balance Sheet</t>
  </si>
  <si>
    <t>Short term Borrowings</t>
  </si>
  <si>
    <t>Lease Liabilities</t>
  </si>
  <si>
    <t>Preference Capital</t>
  </si>
  <si>
    <t>Other Borrowings</t>
  </si>
  <si>
    <t>Non controlling int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</si>
  <si>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</si>
  <si>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</si>
  <si>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</si>
  <si>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</si>
  <si>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</si>
  <si>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</si>
  <si>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</si>
  <si>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</si>
  <si>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</si>
  <si>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</si>
  <si>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</si>
  <si>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</si>
  <si>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</si>
  <si>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</si>
  <si>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</si>
  <si>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</si>
  <si>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Trade receivables</t>
  </si>
  <si>
    <t>Cash Equivalents</t>
  </si>
  <si>
    <t>Loans n Advances</t>
  </si>
  <si>
    <t>Other asset items</t>
  </si>
  <si>
    <t>Borrowings -</t>
  </si>
  <si>
    <t>Other Liabilities -</t>
  </si>
  <si>
    <t>Fixed Assets -</t>
  </si>
  <si>
    <t>Other Assets -</t>
  </si>
  <si>
    <t xml:space="preserve">Calculation of ROIC </t>
  </si>
  <si>
    <t>Current Assets</t>
  </si>
  <si>
    <t>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</si>
  <si>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</si>
  <si>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</si>
  <si>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</si>
  <si>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</si>
  <si>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</si>
  <si>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</si>
  <si>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</si>
  <si>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</si>
  <si>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</si>
  <si>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</si>
  <si>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</si>
  <si>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</si>
  <si>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</si>
  <si>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</si>
  <si>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</si>
  <si>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</si>
  <si>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</si>
  <si>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</si>
  <si>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EBIT (1-T)</t>
  </si>
  <si>
    <t>Less: Reinvestment Rate</t>
  </si>
  <si>
    <t>Free Cash Flow to Firm</t>
  </si>
  <si>
    <t>Discounting Factor</t>
  </si>
  <si>
    <t>PV of FCFF</t>
  </si>
  <si>
    <t>Expected Growth</t>
  </si>
  <si>
    <t>Terminal Growth</t>
  </si>
  <si>
    <t>Calculation of Terminal Value</t>
  </si>
  <si>
    <t>FCFF (n+1)</t>
  </si>
  <si>
    <t>WACC</t>
  </si>
  <si>
    <t>Terminal Growth Rate</t>
  </si>
  <si>
    <t>Terminal Value</t>
  </si>
  <si>
    <t>Calculation of Enterprise Value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</si>
  <si>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</si>
  <si>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</si>
  <si>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</si>
  <si>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</si>
  <si>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</si>
  <si>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</si>
  <si>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</si>
  <si>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>Market Price</t>
  </si>
  <si>
    <t>Multiple</t>
  </si>
  <si>
    <t>Sensivity Analysis</t>
  </si>
  <si>
    <t>Amount in crores</t>
  </si>
  <si>
    <t>Comparable Company Valuation</t>
  </si>
  <si>
    <t>Market Data</t>
  </si>
  <si>
    <t>Financials</t>
  </si>
  <si>
    <t>Valuation</t>
  </si>
  <si>
    <t>Ticker</t>
  </si>
  <si>
    <t>Share Price</t>
  </si>
  <si>
    <t>Shares Outstanding</t>
  </si>
  <si>
    <t>Equity Value</t>
  </si>
  <si>
    <t>Net Debt</t>
  </si>
  <si>
    <t>Enterprise Value</t>
  </si>
  <si>
    <t>Revenue</t>
  </si>
  <si>
    <t>Net Income</t>
  </si>
  <si>
    <t>EV/Revenue</t>
  </si>
  <si>
    <t>EV/EBITDA</t>
  </si>
  <si>
    <t>P/E</t>
  </si>
  <si>
    <t>Cipla</t>
  </si>
  <si>
    <t>Dr Reddy's Labs</t>
  </si>
  <si>
    <t>High</t>
  </si>
  <si>
    <t>75th Percentile</t>
  </si>
  <si>
    <t>25th Percentile</t>
  </si>
  <si>
    <t>Low</t>
  </si>
  <si>
    <t>Implied Enterprise Value</t>
  </si>
  <si>
    <t>Implied Market Value</t>
  </si>
  <si>
    <t>Implied Value per Share</t>
  </si>
  <si>
    <t>No. Eq. Shares Cr.</t>
  </si>
  <si>
    <t>Cash End Rs.Cr.</t>
  </si>
  <si>
    <t>Sales Rs.Cr.</t>
  </si>
  <si>
    <t>NP 12M Rs.Cr.</t>
  </si>
  <si>
    <t>Market Cap</t>
  </si>
  <si>
    <t>EV</t>
  </si>
  <si>
    <t>EBIT 12M Rs.Cr.</t>
  </si>
  <si>
    <t>EV / EBITDA</t>
  </si>
  <si>
    <t>Dep 12M Rs.Cr.</t>
  </si>
  <si>
    <t>Marksans Pharma Comparable Valuation</t>
  </si>
  <si>
    <t>x</t>
  </si>
  <si>
    <t>Shares</t>
  </si>
  <si>
    <t>- Debt</t>
  </si>
  <si>
    <t>+ Cash</t>
  </si>
  <si>
    <t>Present Value of Terminal Value</t>
  </si>
  <si>
    <t>Present Value of FCF</t>
  </si>
  <si>
    <t>Unlevered FCF</t>
  </si>
  <si>
    <t>% of sales</t>
  </si>
  <si>
    <t>Change in NWC</t>
  </si>
  <si>
    <t>CapEx</t>
  </si>
  <si>
    <t>D&amp;A</t>
  </si>
  <si>
    <t>EBIAT</t>
  </si>
  <si>
    <t>% of EBIT</t>
  </si>
  <si>
    <t>Taxes</t>
  </si>
  <si>
    <t>% margin</t>
  </si>
  <si>
    <t>% growth</t>
  </si>
  <si>
    <t>DCF</t>
  </si>
  <si>
    <t>Cash Flow Items</t>
  </si>
  <si>
    <t>TGR</t>
  </si>
  <si>
    <t>Valuation Assumptions</t>
  </si>
  <si>
    <t>Assumptions</t>
  </si>
  <si>
    <t>MARKSANS</t>
  </si>
  <si>
    <t>Growth</t>
  </si>
  <si>
    <t>EBIT FORECAST</t>
  </si>
  <si>
    <t>TAX FORECAST</t>
  </si>
  <si>
    <t>D &amp; A FORECAST</t>
  </si>
  <si>
    <t>CAPEX FORECAST</t>
  </si>
  <si>
    <t>Total Current Liabilities</t>
  </si>
  <si>
    <t>Implied value per share</t>
  </si>
  <si>
    <t>Sensitivity Analysis</t>
  </si>
  <si>
    <t>(Trading Economics)</t>
  </si>
  <si>
    <t>(Yahoo Finance / NSE website)</t>
  </si>
  <si>
    <t>( top stock research)</t>
  </si>
  <si>
    <t>beta</t>
  </si>
  <si>
    <t>year returns - company + nse</t>
  </si>
  <si>
    <t>(investing.com)</t>
  </si>
  <si>
    <t>risk free rate</t>
  </si>
  <si>
    <t>(prime investor.in)</t>
  </si>
  <si>
    <t xml:space="preserve">div yeild 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</si>
</sst>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mmm/yy&quot; A&quot;"/>
    <numFmt numFmtId="167" formatCode="&quot;₹&quot;\ #,##0.00;&quot;₹&quot;\ \(#,##0.00\)"/>
    <numFmt numFmtId="168" formatCode="&quot;₹&quot;\ #,##0.0;&quot;₹&quot;\ \(#,##0.0\)"/>
    <numFmt numFmtId="169" formatCode="&quot;₹&quot;\ #,##0.00"/>
    <numFmt numFmtId="170" formatCode="&quot;₹&quot;\ #,##0.00;&quot;₹&quot;\ \(#,##0.00\);\-"/>
    <numFmt numFmtId="171" formatCode="0.00%;\(0.00%\)"/>
    <numFmt numFmtId="172" formatCode="0.00&quot;x&quot;"/>
    <numFmt numFmtId="173" formatCode="0.0000"/>
    <numFmt numFmtId="174" formatCode="0&quot; days&quot;"/>
    <numFmt numFmtId="175" formatCode="#,##0.0"/>
    <numFmt numFmtId="176" formatCode="0.000"/>
    <numFmt numFmtId="177" formatCode="0.000&quot; x&quot;"/>
    <numFmt numFmtId="178" formatCode="0.00&quot; x&quot;"/>
    <numFmt numFmtId="179" formatCode="_([$$-409]* #,##0.00_);_([$$-409]* \(#,##0.00\);_([$$-409]* &quot;-&quot;??_);_(@_)"/>
    <numFmt numFmtId="180" formatCode="0.0%;\(0.0%\)"/>
    <numFmt numFmtId="181" formatCode="0.0%"/>
    <numFmt numFmtId="182" formatCode="&quot;$&quot;#,##0_);[Red]\(&quot;$&quot;#,##0\)"/>
    <numFmt numFmtId="183" formatCode="&quot;$&quot;#,##0.00"/>
    <numFmt numFmtId="184" formatCode="yyyy&quot; A&quot;"/>
    <numFmt numFmtId="185" formatCode="yyyy&quot; E&quot;"/>
    <numFmt numFmtId="186" formatCode="_ [$INR]\ * #,##0.00_ ;_ [$INR]\ * \-#,##0.00_ ;_ [$INR]\ * &quot;-&quot;??_ ;_ @_ "/>
    <numFmt numFmtId="187" formatCode="&quot;₹&quot;\ #,##0"/>
  </numFmts>
  <fonts count="62">
    <font>
      <sz val="11"/>
      <color theme="1"/>
      <name val="Arial Narrow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  "/>
    </font>
    <font>
      <sz val="11"/>
      <color theme="1"/>
      <name val="Calibri  "/>
    </font>
    <font>
      <b/>
      <sz val="11"/>
      <color theme="1"/>
      <name val="Calibri  "/>
    </font>
    <font>
      <sz val="11"/>
      <color theme="10"/>
      <name val="Calibri  "/>
    </font>
    <font>
      <sz val="11"/>
      <name val="Calibri  "/>
    </font>
    <font>
      <i/>
      <sz val="11"/>
      <color theme="0" tint="-0.499984740745262"/>
      <name val="Calibri  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rgb="FFF54D4D"/>
      <name val="Arial"/>
      <family val="2"/>
    </font>
    <font>
      <sz val="11"/>
      <color rgb="FF478307"/>
      <name val="Arial"/>
      <family val="2"/>
    </font>
    <font>
      <sz val="11"/>
      <name val="Arial"/>
      <family val="2"/>
    </font>
    <font>
      <sz val="11"/>
      <name val="Arial Narrow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</font>
    <font>
      <sz val="11"/>
      <color rgb="FF000000"/>
      <name val="Calibri"/>
      <family val="2"/>
    </font>
    <font>
      <sz val="11"/>
      <color rgb="FF3333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 Narrow"/>
      <family val="2"/>
    </font>
    <font>
      <b/>
      <sz val="11"/>
      <name val="Calibri"/>
      <family val="2"/>
    </font>
    <font>
      <i/>
      <sz val="11"/>
      <color theme="1"/>
      <name val="Arial Narrow"/>
      <family val="2"/>
    </font>
    <font>
      <sz val="14"/>
      <color rgb="FF212529"/>
      <name val="Roboto"/>
    </font>
    <font>
      <i/>
      <sz val="9"/>
      <color theme="0" tint="-0.14999847407452621"/>
      <name val="Calibri"/>
      <family val="2"/>
      <scheme val="minor"/>
    </font>
    <font>
      <sz val="11"/>
      <color rgb="FF0000FF"/>
      <name val="Calibri"/>
      <family val="2"/>
    </font>
    <font>
      <sz val="11"/>
      <name val="Calibri"/>
      <family val="2"/>
    </font>
    <font>
      <sz val="11"/>
      <color theme="1"/>
      <name val="Arial Narrow"/>
      <family val="2"/>
    </font>
    <font>
      <b/>
      <sz val="11"/>
      <color theme="0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Arial Narrow"/>
      <family val="2"/>
    </font>
    <font>
      <i/>
      <sz val="11"/>
      <color theme="1"/>
      <name val="Calibri"/>
      <family val="2"/>
    </font>
    <font>
      <b/>
      <sz val="12"/>
      <color rgb="FF002060"/>
      <name val="Calibri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  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sz val="11"/>
      <color rgb="FF0000FF"/>
      <name val="Calibri"/>
      <family val="2"/>
      <scheme val="minor"/>
    </font>
    <font>
      <b/>
      <sz val="16"/>
      <color theme="0"/>
      <name val="Calibri"/>
      <family val="2"/>
    </font>
    <font>
      <b/>
      <i/>
      <sz val="11"/>
      <color rgb="FFFFFFFF"/>
      <name val="Calibri"/>
      <family val="2"/>
    </font>
    <font>
      <sz val="9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tted">
        <color rgb="FF002060"/>
      </bottom>
      <diagonal/>
    </border>
    <border>
      <left/>
      <right/>
      <top/>
      <bottom style="medium">
        <color rgb="FFFFFFFF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dotted">
        <color rgb="FF002060"/>
      </top>
      <bottom style="dotted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tted">
        <color auto="1"/>
      </bottom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0" fontId="6" fillId="0" borderId="0"/>
    <xf numFmtId="0" fontId="7" fillId="4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9" fontId="40" fillId="0" borderId="0" applyFont="0" applyFill="0" applyBorder="0" applyAlignment="0" applyProtection="0"/>
  </cellStyleXfs>
  <cellXfs count="450">
    <xf numFmtId="0" fontId="0" fillId="0" borderId="0" xfId="0"/>
    <xf numFmtId="0" fontId="10" fillId="0" borderId="0" xfId="0" applyFont="1"/>
    <xf numFmtId="43" fontId="11" fillId="0" borderId="0" xfId="1" applyFont="1" applyBorder="1"/>
    <xf numFmtId="43" fontId="10" fillId="0" borderId="0" xfId="1" applyFont="1" applyBorder="1"/>
    <xf numFmtId="0" fontId="10" fillId="0" borderId="0" xfId="2" applyFont="1"/>
    <xf numFmtId="165" fontId="9" fillId="5" borderId="0" xfId="1" applyNumberFormat="1" applyFont="1" applyFill="1" applyBorder="1"/>
    <xf numFmtId="165" fontId="9" fillId="5" borderId="0" xfId="2" applyNumberFormat="1" applyFont="1" applyFill="1" applyAlignment="1">
      <alignment horizontal="center"/>
    </xf>
    <xf numFmtId="165" fontId="13" fillId="0" borderId="0" xfId="1" applyNumberFormat="1" applyFont="1" applyFill="1" applyBorder="1"/>
    <xf numFmtId="164" fontId="10" fillId="0" borderId="0" xfId="1" applyNumberFormat="1" applyFont="1" applyBorder="1"/>
    <xf numFmtId="0" fontId="11" fillId="0" borderId="0" xfId="0" applyFont="1"/>
    <xf numFmtId="43" fontId="10" fillId="0" borderId="0" xfId="0" applyNumberFormat="1" applyFont="1"/>
    <xf numFmtId="167" fontId="10" fillId="0" borderId="0" xfId="0" applyNumberFormat="1" applyFont="1"/>
    <xf numFmtId="10" fontId="10" fillId="0" borderId="0" xfId="0" applyNumberFormat="1" applyFont="1"/>
    <xf numFmtId="0" fontId="14" fillId="0" borderId="0" xfId="0" applyFont="1"/>
    <xf numFmtId="43" fontId="14" fillId="0" borderId="0" xfId="0" applyNumberFormat="1" applyFont="1"/>
    <xf numFmtId="167" fontId="14" fillId="0" borderId="0" xfId="0" applyNumberFormat="1" applyFont="1"/>
    <xf numFmtId="10" fontId="14" fillId="0" borderId="0" xfId="0" applyNumberFormat="1" applyFont="1"/>
    <xf numFmtId="0" fontId="10" fillId="6" borderId="0" xfId="0" applyFont="1" applyFill="1"/>
    <xf numFmtId="0" fontId="9" fillId="6" borderId="0" xfId="0" applyFont="1" applyFill="1"/>
    <xf numFmtId="166" fontId="9" fillId="6" borderId="0" xfId="0" applyNumberFormat="1" applyFont="1" applyFill="1" applyAlignment="1">
      <alignment horizontal="right"/>
    </xf>
    <xf numFmtId="169" fontId="10" fillId="0" borderId="0" xfId="0" applyNumberFormat="1" applyFont="1"/>
    <xf numFmtId="169" fontId="11" fillId="0" borderId="0" xfId="0" applyNumberFormat="1" applyFont="1"/>
    <xf numFmtId="0" fontId="11" fillId="0" borderId="1" xfId="0" applyFont="1" applyBorder="1"/>
    <xf numFmtId="169" fontId="11" fillId="0" borderId="1" xfId="0" applyNumberFormat="1" applyFont="1" applyBorder="1"/>
    <xf numFmtId="0" fontId="11" fillId="6" borderId="0" xfId="2" applyFont="1" applyFill="1"/>
    <xf numFmtId="0" fontId="10" fillId="6" borderId="0" xfId="2" applyFont="1" applyFill="1"/>
    <xf numFmtId="0" fontId="9" fillId="6" borderId="0" xfId="2" applyFont="1" applyFill="1"/>
    <xf numFmtId="165" fontId="9" fillId="6" borderId="0" xfId="2" applyNumberFormat="1" applyFont="1" applyFill="1" applyAlignment="1">
      <alignment horizontal="center"/>
    </xf>
    <xf numFmtId="0" fontId="15" fillId="6" borderId="0" xfId="0" applyFont="1" applyFill="1" applyAlignment="1">
      <alignment horizontal="left" vertical="center" indent="2"/>
    </xf>
    <xf numFmtId="10" fontId="15" fillId="6" borderId="0" xfId="0" applyNumberFormat="1" applyFont="1" applyFill="1" applyAlignment="1">
      <alignment horizontal="right" vertical="center" wrapText="1"/>
    </xf>
    <xf numFmtId="0" fontId="16" fillId="6" borderId="0" xfId="0" applyFont="1" applyFill="1" applyAlignment="1">
      <alignment horizontal="left" vertical="center" indent="2"/>
    </xf>
    <xf numFmtId="0" fontId="16" fillId="6" borderId="0" xfId="0" applyFont="1" applyFill="1" applyAlignment="1">
      <alignment horizontal="right" vertical="center" wrapText="1"/>
    </xf>
    <xf numFmtId="0" fontId="17" fillId="6" borderId="0" xfId="0" applyFont="1" applyFill="1" applyAlignment="1">
      <alignment horizontal="right" vertical="center" wrapText="1"/>
    </xf>
    <xf numFmtId="0" fontId="18" fillId="6" borderId="0" xfId="0" applyFont="1" applyFill="1" applyAlignment="1">
      <alignment horizontal="right" vertical="center" wrapText="1"/>
    </xf>
    <xf numFmtId="9" fontId="16" fillId="6" borderId="0" xfId="0" applyNumberFormat="1" applyFont="1" applyFill="1" applyAlignment="1">
      <alignment horizontal="right" vertical="center" wrapText="1"/>
    </xf>
    <xf numFmtId="17" fontId="19" fillId="6" borderId="2" xfId="0" applyNumberFormat="1" applyFont="1" applyFill="1" applyBorder="1" applyAlignment="1">
      <alignment horizontal="right" vertical="center" wrapText="1"/>
    </xf>
    <xf numFmtId="17" fontId="20" fillId="6" borderId="0" xfId="0" applyNumberFormat="1" applyFont="1" applyFill="1"/>
    <xf numFmtId="0" fontId="21" fillId="6" borderId="3" xfId="0" applyFont="1" applyFill="1" applyBorder="1" applyAlignment="1">
      <alignment horizontal="left" vertical="center" indent="2"/>
    </xf>
    <xf numFmtId="0" fontId="21" fillId="6" borderId="3" xfId="0" applyFont="1" applyFill="1" applyBorder="1" applyAlignment="1">
      <alignment horizontal="right" vertical="center" wrapText="1"/>
    </xf>
    <xf numFmtId="0" fontId="21" fillId="6" borderId="3" xfId="0" applyFont="1" applyFill="1" applyBorder="1" applyAlignment="1">
      <alignment horizontal="left" vertical="center"/>
    </xf>
    <xf numFmtId="0" fontId="22" fillId="6" borderId="0" xfId="0" applyFont="1" applyFill="1" applyAlignment="1">
      <alignment horizontal="left" vertical="center"/>
    </xf>
    <xf numFmtId="0" fontId="22" fillId="6" borderId="0" xfId="0" applyFont="1" applyFill="1" applyAlignment="1">
      <alignment horizontal="right" vertical="center" wrapText="1"/>
    </xf>
    <xf numFmtId="0" fontId="22" fillId="6" borderId="0" xfId="0" applyFont="1" applyFill="1" applyAlignment="1">
      <alignment horizontal="left" vertical="center" indent="2"/>
    </xf>
    <xf numFmtId="10" fontId="22" fillId="6" borderId="0" xfId="0" applyNumberFormat="1" applyFont="1" applyFill="1" applyAlignment="1">
      <alignment horizontal="right" vertical="center" wrapText="1"/>
    </xf>
    <xf numFmtId="0" fontId="10" fillId="0" borderId="1" xfId="0" applyFont="1" applyBorder="1"/>
    <xf numFmtId="167" fontId="11" fillId="0" borderId="1" xfId="0" applyNumberFormat="1" applyFont="1" applyBorder="1"/>
    <xf numFmtId="0" fontId="23" fillId="6" borderId="1" xfId="0" applyFont="1" applyFill="1" applyBorder="1" applyAlignment="1">
      <alignment horizontal="left" vertical="center"/>
    </xf>
    <xf numFmtId="168" fontId="11" fillId="0" borderId="1" xfId="0" applyNumberFormat="1" applyFont="1" applyBorder="1"/>
    <xf numFmtId="170" fontId="10" fillId="0" borderId="0" xfId="0" applyNumberFormat="1" applyFont="1"/>
    <xf numFmtId="170" fontId="11" fillId="0" borderId="1" xfId="0" applyNumberFormat="1" applyFont="1" applyBorder="1"/>
    <xf numFmtId="43" fontId="11" fillId="0" borderId="4" xfId="0" applyNumberFormat="1" applyFont="1" applyBorder="1"/>
    <xf numFmtId="0" fontId="11" fillId="0" borderId="4" xfId="0" applyFont="1" applyBorder="1"/>
    <xf numFmtId="167" fontId="11" fillId="0" borderId="4" xfId="0" applyNumberFormat="1" applyFont="1" applyBorder="1"/>
    <xf numFmtId="169" fontId="11" fillId="0" borderId="4" xfId="0" applyNumberFormat="1" applyFont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25" fillId="6" borderId="0" xfId="0" applyFont="1" applyFill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6" xfId="0" applyFont="1" applyBorder="1" applyAlignment="1">
      <alignment wrapText="1"/>
    </xf>
    <xf numFmtId="10" fontId="10" fillId="0" borderId="5" xfId="0" applyNumberFormat="1" applyFont="1" applyBorder="1"/>
    <xf numFmtId="10" fontId="10" fillId="0" borderId="0" xfId="0" applyNumberFormat="1" applyFont="1" applyBorder="1"/>
    <xf numFmtId="171" fontId="10" fillId="0" borderId="6" xfId="0" applyNumberFormat="1" applyFont="1" applyBorder="1"/>
    <xf numFmtId="172" fontId="10" fillId="0" borderId="6" xfId="0" applyNumberFormat="1" applyFont="1" applyBorder="1"/>
    <xf numFmtId="172" fontId="10" fillId="0" borderId="5" xfId="0" applyNumberFormat="1" applyFont="1" applyBorder="1"/>
    <xf numFmtId="172" fontId="10" fillId="0" borderId="0" xfId="0" applyNumberFormat="1" applyFont="1" applyBorder="1"/>
    <xf numFmtId="174" fontId="10" fillId="0" borderId="5" xfId="0" applyNumberFormat="1" applyFont="1" applyBorder="1"/>
    <xf numFmtId="10" fontId="10" fillId="0" borderId="6" xfId="0" applyNumberFormat="1" applyFont="1" applyBorder="1"/>
    <xf numFmtId="171" fontId="10" fillId="0" borderId="0" xfId="0" applyNumberFormat="1" applyFont="1" applyAlignment="1">
      <alignment horizontal="center"/>
    </xf>
    <xf numFmtId="172" fontId="10" fillId="0" borderId="0" xfId="0" applyNumberFormat="1" applyFont="1" applyBorder="1" applyAlignment="1">
      <alignment horizontal="center"/>
    </xf>
    <xf numFmtId="0" fontId="10" fillId="0" borderId="5" xfId="0" applyFont="1" applyBorder="1"/>
    <xf numFmtId="171" fontId="10" fillId="0" borderId="5" xfId="0" applyNumberFormat="1" applyFont="1" applyBorder="1" applyAlignment="1">
      <alignment horizontal="center"/>
    </xf>
    <xf numFmtId="0" fontId="10" fillId="0" borderId="0" xfId="0" applyFont="1" applyBorder="1"/>
    <xf numFmtId="171" fontId="10" fillId="0" borderId="0" xfId="0" applyNumberFormat="1" applyFont="1" applyBorder="1" applyAlignment="1">
      <alignment horizontal="center"/>
    </xf>
    <xf numFmtId="0" fontId="10" fillId="0" borderId="6" xfId="0" applyFont="1" applyBorder="1"/>
    <xf numFmtId="171" fontId="10" fillId="0" borderId="6" xfId="0" applyNumberFormat="1" applyFont="1" applyBorder="1" applyAlignment="1">
      <alignment horizontal="center"/>
    </xf>
    <xf numFmtId="172" fontId="10" fillId="0" borderId="6" xfId="0" applyNumberFormat="1" applyFont="1" applyBorder="1" applyAlignment="1">
      <alignment horizontal="center"/>
    </xf>
    <xf numFmtId="172" fontId="10" fillId="0" borderId="5" xfId="0" applyNumberFormat="1" applyFont="1" applyBorder="1" applyAlignment="1">
      <alignment horizontal="center"/>
    </xf>
    <xf numFmtId="174" fontId="10" fillId="0" borderId="5" xfId="0" applyNumberFormat="1" applyFont="1" applyBorder="1" applyAlignment="1">
      <alignment horizontal="center"/>
    </xf>
    <xf numFmtId="171" fontId="10" fillId="0" borderId="5" xfId="0" applyNumberFormat="1" applyFont="1" applyBorder="1"/>
    <xf numFmtId="171" fontId="10" fillId="0" borderId="0" xfId="0" applyNumberFormat="1" applyFont="1" applyBorder="1"/>
    <xf numFmtId="0" fontId="29" fillId="0" borderId="0" xfId="0" applyFont="1" applyAlignment="1">
      <alignment vertical="center"/>
    </xf>
    <xf numFmtId="0" fontId="31" fillId="0" borderId="0" xfId="0" applyFont="1" applyAlignment="1">
      <alignment horizontal="right"/>
    </xf>
    <xf numFmtId="10" fontId="31" fillId="0" borderId="0" xfId="0" applyNumberFormat="1" applyFont="1" applyAlignment="1">
      <alignment horizontal="right" vertical="top"/>
    </xf>
    <xf numFmtId="10" fontId="5" fillId="9" borderId="0" xfId="0" applyNumberFormat="1" applyFont="1" applyFill="1" applyAlignment="1">
      <alignment horizontal="right"/>
    </xf>
    <xf numFmtId="0" fontId="6" fillId="0" borderId="0" xfId="0" applyFont="1" applyAlignment="1"/>
    <xf numFmtId="0" fontId="5" fillId="0" borderId="0" xfId="0" applyFont="1" applyAlignment="1"/>
    <xf numFmtId="0" fontId="24" fillId="0" borderId="7" xfId="0" applyFont="1" applyBorder="1" applyAlignment="1"/>
    <xf numFmtId="0" fontId="5" fillId="0" borderId="7" xfId="0" applyFont="1" applyBorder="1" applyAlignment="1"/>
    <xf numFmtId="0" fontId="5" fillId="0" borderId="0" xfId="0" applyFont="1" applyAlignment="1">
      <alignment horizontal="right"/>
    </xf>
    <xf numFmtId="0" fontId="5" fillId="0" borderId="7" xfId="0" applyFont="1" applyBorder="1" applyAlignment="1">
      <alignment vertical="top"/>
    </xf>
    <xf numFmtId="0" fontId="5" fillId="0" borderId="7" xfId="0" applyFont="1" applyBorder="1" applyAlignment="1">
      <alignment horizontal="right" vertical="top"/>
    </xf>
    <xf numFmtId="0" fontId="30" fillId="0" borderId="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8" xfId="0" applyFont="1" applyBorder="1" applyAlignment="1"/>
    <xf numFmtId="0" fontId="24" fillId="0" borderId="0" xfId="0" applyFont="1" applyAlignment="1"/>
    <xf numFmtId="10" fontId="5" fillId="0" borderId="0" xfId="0" applyNumberFormat="1" applyFont="1" applyAlignment="1">
      <alignment horizontal="right"/>
    </xf>
    <xf numFmtId="0" fontId="24" fillId="0" borderId="8" xfId="0" applyFont="1" applyBorder="1" applyAlignment="1"/>
    <xf numFmtId="10" fontId="5" fillId="0" borderId="8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9" xfId="0" applyFont="1" applyBorder="1" applyAlignment="1"/>
    <xf numFmtId="0" fontId="24" fillId="0" borderId="8" xfId="0" applyFont="1" applyBorder="1" applyAlignment="1">
      <alignment vertical="center"/>
    </xf>
    <xf numFmtId="0" fontId="30" fillId="0" borderId="9" xfId="0" applyFont="1" applyBorder="1" applyAlignment="1">
      <alignment vertical="center"/>
    </xf>
    <xf numFmtId="0" fontId="3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10" fontId="0" fillId="0" borderId="0" xfId="0" applyNumberFormat="1"/>
    <xf numFmtId="10" fontId="33" fillId="0" borderId="0" xfId="0" applyNumberFormat="1" applyFont="1"/>
    <xf numFmtId="0" fontId="34" fillId="0" borderId="11" xfId="0" applyFont="1" applyBorder="1" applyAlignment="1">
      <alignment horizontal="right"/>
    </xf>
    <xf numFmtId="175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33" fillId="0" borderId="0" xfId="0" applyNumberFormat="1" applyFont="1" applyAlignment="1">
      <alignment horizontal="right"/>
    </xf>
    <xf numFmtId="0" fontId="0" fillId="0" borderId="0" xfId="0" applyFill="1" applyBorder="1" applyAlignment="1"/>
    <xf numFmtId="0" fontId="0" fillId="0" borderId="12" xfId="0" applyFill="1" applyBorder="1" applyAlignment="1"/>
    <xf numFmtId="0" fontId="35" fillId="0" borderId="13" xfId="0" applyFont="1" applyFill="1" applyBorder="1" applyAlignment="1">
      <alignment horizontal="center"/>
    </xf>
    <xf numFmtId="0" fontId="35" fillId="0" borderId="13" xfId="0" applyFont="1" applyFill="1" applyBorder="1" applyAlignment="1">
      <alignment horizontal="centerContinuous"/>
    </xf>
    <xf numFmtId="0" fontId="0" fillId="6" borderId="0" xfId="0" applyFill="1"/>
    <xf numFmtId="0" fontId="4" fillId="0" borderId="0" xfId="0" applyFont="1" applyAlignment="1"/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4" fillId="11" borderId="0" xfId="0" applyFont="1" applyFill="1" applyAlignment="1"/>
    <xf numFmtId="0" fontId="4" fillId="11" borderId="0" xfId="0" applyFont="1" applyFill="1" applyAlignment="1">
      <alignment horizontal="right"/>
    </xf>
    <xf numFmtId="0" fontId="37" fillId="0" borderId="0" xfId="0" applyFont="1" applyAlignment="1"/>
    <xf numFmtId="10" fontId="38" fillId="0" borderId="0" xfId="0" applyNumberFormat="1" applyFont="1" applyAlignment="1">
      <alignment horizontal="right"/>
    </xf>
    <xf numFmtId="4" fontId="39" fillId="0" borderId="0" xfId="0" applyNumberFormat="1" applyFont="1" applyAlignment="1">
      <alignment horizontal="right"/>
    </xf>
    <xf numFmtId="10" fontId="5" fillId="12" borderId="8" xfId="0" applyNumberFormat="1" applyFont="1" applyFill="1" applyBorder="1" applyAlignment="1">
      <alignment horizontal="right"/>
    </xf>
    <xf numFmtId="10" fontId="39" fillId="0" borderId="9" xfId="0" applyNumberFormat="1" applyFont="1" applyBorder="1" applyAlignment="1">
      <alignment horizontal="right"/>
    </xf>
    <xf numFmtId="0" fontId="24" fillId="0" borderId="0" xfId="0" applyFont="1" applyAlignment="1">
      <alignment vertical="center"/>
    </xf>
    <xf numFmtId="0" fontId="11" fillId="0" borderId="12" xfId="0" applyFont="1" applyBorder="1"/>
    <xf numFmtId="17" fontId="11" fillId="0" borderId="12" xfId="0" applyNumberFormat="1" applyFont="1" applyBorder="1"/>
    <xf numFmtId="0" fontId="11" fillId="0" borderId="0" xfId="0" applyFont="1" applyBorder="1"/>
    <xf numFmtId="17" fontId="11" fillId="0" borderId="0" xfId="0" applyNumberFormat="1" applyFont="1" applyBorder="1"/>
    <xf numFmtId="43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43" fontId="11" fillId="0" borderId="0" xfId="0" applyNumberFormat="1" applyFont="1" applyAlignment="1">
      <alignment horizontal="left"/>
    </xf>
    <xf numFmtId="9" fontId="11" fillId="0" borderId="0" xfId="8" applyFont="1" applyBorder="1"/>
    <xf numFmtId="0" fontId="10" fillId="0" borderId="12" xfId="0" applyFont="1" applyBorder="1"/>
    <xf numFmtId="3" fontId="0" fillId="0" borderId="0" xfId="0" applyNumberFormat="1"/>
    <xf numFmtId="0" fontId="33" fillId="10" borderId="0" xfId="0" applyFont="1" applyFill="1"/>
    <xf numFmtId="17" fontId="33" fillId="10" borderId="0" xfId="0" applyNumberFormat="1" applyFont="1" applyFill="1"/>
    <xf numFmtId="0" fontId="33" fillId="0" borderId="0" xfId="0" applyFont="1"/>
    <xf numFmtId="0" fontId="33" fillId="6" borderId="0" xfId="0" applyFont="1" applyFill="1"/>
    <xf numFmtId="17" fontId="33" fillId="6" borderId="0" xfId="0" applyNumberFormat="1" applyFont="1" applyFill="1"/>
    <xf numFmtId="0" fontId="0" fillId="0" borderId="0" xfId="0" applyFont="1"/>
    <xf numFmtId="0" fontId="33" fillId="0" borderId="14" xfId="0" applyFont="1" applyBorder="1"/>
    <xf numFmtId="3" fontId="33" fillId="0" borderId="14" xfId="0" applyNumberFormat="1" applyFont="1" applyBorder="1"/>
    <xf numFmtId="0" fontId="33" fillId="0" borderId="4" xfId="0" applyFont="1" applyBorder="1"/>
    <xf numFmtId="0" fontId="0" fillId="0" borderId="4" xfId="0" applyBorder="1"/>
    <xf numFmtId="3" fontId="0" fillId="0" borderId="4" xfId="0" applyNumberFormat="1" applyBorder="1"/>
    <xf numFmtId="4" fontId="0" fillId="0" borderId="4" xfId="0" applyNumberFormat="1" applyBorder="1"/>
    <xf numFmtId="0" fontId="0" fillId="0" borderId="10" xfId="0" applyBorder="1"/>
    <xf numFmtId="4" fontId="0" fillId="0" borderId="10" xfId="0" applyNumberFormat="1" applyBorder="1"/>
    <xf numFmtId="0" fontId="24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7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4" fontId="24" fillId="0" borderId="7" xfId="0" applyNumberFormat="1" applyFont="1" applyBorder="1" applyAlignment="1">
      <alignment horizontal="right" wrapText="1"/>
    </xf>
    <xf numFmtId="0" fontId="25" fillId="7" borderId="0" xfId="0" applyFont="1" applyFill="1" applyAlignment="1">
      <alignment vertical="center"/>
    </xf>
    <xf numFmtId="0" fontId="3" fillId="7" borderId="0" xfId="0" applyFont="1" applyFill="1" applyAlignment="1">
      <alignment wrapText="1"/>
    </xf>
    <xf numFmtId="17" fontId="25" fillId="7" borderId="0" xfId="0" applyNumberFormat="1" applyFont="1" applyFill="1" applyAlignment="1">
      <alignment horizontal="right" wrapText="1"/>
    </xf>
    <xf numFmtId="0" fontId="24" fillId="11" borderId="0" xfId="0" applyFont="1" applyFill="1" applyAlignment="1"/>
    <xf numFmtId="0" fontId="0" fillId="0" borderId="0" xfId="0" applyAlignment="1"/>
    <xf numFmtId="0" fontId="33" fillId="0" borderId="0" xfId="0" applyFont="1" applyAlignment="1"/>
    <xf numFmtId="0" fontId="0" fillId="0" borderId="4" xfId="0" applyBorder="1" applyAlignment="1"/>
    <xf numFmtId="4" fontId="0" fillId="0" borderId="4" xfId="0" applyNumberFormat="1" applyBorder="1" applyAlignment="1"/>
    <xf numFmtId="4" fontId="0" fillId="0" borderId="0" xfId="0" applyNumberFormat="1" applyAlignment="1"/>
    <xf numFmtId="0" fontId="33" fillId="0" borderId="15" xfId="0" applyFont="1" applyBorder="1" applyAlignment="1"/>
    <xf numFmtId="0" fontId="0" fillId="0" borderId="15" xfId="0" applyBorder="1" applyAlignment="1"/>
    <xf numFmtId="4" fontId="33" fillId="0" borderId="15" xfId="0" applyNumberFormat="1" applyFont="1" applyBorder="1" applyAlignment="1"/>
    <xf numFmtId="4" fontId="33" fillId="0" borderId="0" xfId="0" applyNumberFormat="1" applyFont="1" applyAlignment="1"/>
    <xf numFmtId="0" fontId="0" fillId="0" borderId="0" xfId="0" applyBorder="1" applyAlignment="1"/>
    <xf numFmtId="0" fontId="3" fillId="0" borderId="16" xfId="0" applyFont="1" applyBorder="1" applyAlignment="1"/>
    <xf numFmtId="0" fontId="3" fillId="0" borderId="0" xfId="0" applyFont="1" applyBorder="1" applyAlignment="1"/>
    <xf numFmtId="4" fontId="3" fillId="0" borderId="16" xfId="0" applyNumberFormat="1" applyFont="1" applyBorder="1" applyAlignment="1">
      <alignment horizontal="right"/>
    </xf>
    <xf numFmtId="0" fontId="3" fillId="0" borderId="7" xfId="0" applyFont="1" applyBorder="1" applyAlignment="1"/>
    <xf numFmtId="0" fontId="3" fillId="0" borderId="0" xfId="0" applyFont="1" applyAlignment="1"/>
    <xf numFmtId="4" fontId="24" fillId="0" borderId="0" xfId="0" applyNumberFormat="1" applyFont="1" applyAlignment="1">
      <alignment horizontal="right"/>
    </xf>
    <xf numFmtId="4" fontId="3" fillId="0" borderId="7" xfId="0" applyNumberFormat="1" applyFont="1" applyBorder="1" applyAlignment="1">
      <alignment horizontal="right"/>
    </xf>
    <xf numFmtId="4" fontId="24" fillId="0" borderId="7" xfId="0" applyNumberFormat="1" applyFont="1" applyBorder="1" applyAlignment="1">
      <alignment horizontal="right"/>
    </xf>
    <xf numFmtId="10" fontId="24" fillId="0" borderId="7" xfId="0" applyNumberFormat="1" applyFont="1" applyBorder="1" applyAlignment="1">
      <alignment horizontal="right"/>
    </xf>
    <xf numFmtId="10" fontId="31" fillId="0" borderId="16" xfId="0" applyNumberFormat="1" applyFont="1" applyBorder="1" applyAlignment="1">
      <alignment horizontal="right"/>
    </xf>
    <xf numFmtId="10" fontId="3" fillId="0" borderId="16" xfId="0" applyNumberFormat="1" applyFont="1" applyBorder="1" applyAlignment="1">
      <alignment horizontal="right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right" wrapText="1"/>
    </xf>
    <xf numFmtId="0" fontId="3" fillId="0" borderId="0" xfId="0" applyFont="1" applyAlignment="1">
      <alignment vertical="center"/>
    </xf>
    <xf numFmtId="10" fontId="38" fillId="0" borderId="0" xfId="0" applyNumberFormat="1" applyFont="1" applyAlignment="1">
      <alignment horizontal="right" wrapText="1"/>
    </xf>
    <xf numFmtId="0" fontId="25" fillId="7" borderId="0" xfId="0" applyFont="1" applyFill="1" applyAlignment="1"/>
    <xf numFmtId="175" fontId="3" fillId="0" borderId="0" xfId="0" applyNumberFormat="1" applyFont="1" applyAlignment="1">
      <alignment wrapText="1"/>
    </xf>
    <xf numFmtId="0" fontId="3" fillId="7" borderId="0" xfId="0" applyFont="1" applyFill="1" applyAlignment="1"/>
    <xf numFmtId="0" fontId="45" fillId="0" borderId="7" xfId="0" applyFont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4" fillId="11" borderId="7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/>
    <xf numFmtId="0" fontId="25" fillId="7" borderId="0" xfId="0" applyFont="1" applyFill="1" applyAlignment="1">
      <alignment horizontal="right"/>
    </xf>
    <xf numFmtId="0" fontId="3" fillId="11" borderId="16" xfId="0" applyFont="1" applyFill="1" applyBorder="1" applyAlignment="1"/>
    <xf numFmtId="3" fontId="3" fillId="0" borderId="16" xfId="0" applyNumberFormat="1" applyFont="1" applyBorder="1" applyAlignment="1">
      <alignment horizontal="right"/>
    </xf>
    <xf numFmtId="0" fontId="24" fillId="11" borderId="16" xfId="0" applyFont="1" applyFill="1" applyBorder="1" applyAlignment="1"/>
    <xf numFmtId="0" fontId="25" fillId="7" borderId="0" xfId="0" applyFont="1" applyFill="1" applyAlignment="1">
      <alignment horizontal="center"/>
    </xf>
    <xf numFmtId="0" fontId="3" fillId="11" borderId="7" xfId="0" applyFont="1" applyFill="1" applyBorder="1" applyAlignment="1"/>
    <xf numFmtId="10" fontId="43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6" borderId="16" xfId="0" applyFont="1" applyFill="1" applyBorder="1" applyAlignment="1"/>
    <xf numFmtId="3" fontId="3" fillId="6" borderId="16" xfId="0" applyNumberFormat="1" applyFont="1" applyFill="1" applyBorder="1" applyAlignment="1">
      <alignment horizontal="right"/>
    </xf>
    <xf numFmtId="2" fontId="3" fillId="6" borderId="16" xfId="0" applyNumberFormat="1" applyFont="1" applyFill="1" applyBorder="1" applyAlignment="1">
      <alignment horizontal="right"/>
    </xf>
    <xf numFmtId="0" fontId="3" fillId="6" borderId="0" xfId="0" applyFont="1" applyFill="1" applyAlignment="1"/>
    <xf numFmtId="0" fontId="3" fillId="12" borderId="16" xfId="0" applyFont="1" applyFill="1" applyBorder="1" applyAlignment="1"/>
    <xf numFmtId="2" fontId="3" fillId="12" borderId="16" xfId="0" applyNumberFormat="1" applyFont="1" applyFill="1" applyBorder="1" applyAlignment="1">
      <alignment horizontal="right"/>
    </xf>
    <xf numFmtId="3" fontId="3" fillId="12" borderId="16" xfId="0" applyNumberFormat="1" applyFont="1" applyFill="1" applyBorder="1" applyAlignment="1">
      <alignment horizontal="right"/>
    </xf>
    <xf numFmtId="2" fontId="3" fillId="0" borderId="16" xfId="0" applyNumberFormat="1" applyFont="1" applyBorder="1" applyAlignment="1">
      <alignment horizontal="right"/>
    </xf>
    <xf numFmtId="176" fontId="24" fillId="11" borderId="7" xfId="0" applyNumberFormat="1" applyFont="1" applyFill="1" applyBorder="1" applyAlignment="1">
      <alignment horizontal="right"/>
    </xf>
    <xf numFmtId="178" fontId="3" fillId="12" borderId="16" xfId="0" applyNumberFormat="1" applyFont="1" applyFill="1" applyBorder="1" applyAlignment="1">
      <alignment horizontal="right"/>
    </xf>
    <xf numFmtId="178" fontId="3" fillId="6" borderId="16" xfId="0" applyNumberFormat="1" applyFont="1" applyFill="1" applyBorder="1" applyAlignment="1">
      <alignment horizontal="right"/>
    </xf>
    <xf numFmtId="178" fontId="3" fillId="0" borderId="16" xfId="0" applyNumberFormat="1" applyFont="1" applyBorder="1" applyAlignment="1"/>
    <xf numFmtId="178" fontId="3" fillId="11" borderId="16" xfId="0" applyNumberFormat="1" applyFont="1" applyFill="1" applyBorder="1" applyAlignment="1">
      <alignment horizontal="right"/>
    </xf>
    <xf numFmtId="178" fontId="24" fillId="11" borderId="16" xfId="0" applyNumberFormat="1" applyFont="1" applyFill="1" applyBorder="1" applyAlignment="1">
      <alignment horizontal="right"/>
    </xf>
    <xf numFmtId="0" fontId="6" fillId="0" borderId="0" xfId="2"/>
    <xf numFmtId="0" fontId="27" fillId="0" borderId="0" xfId="2" applyFont="1"/>
    <xf numFmtId="0" fontId="6" fillId="0" borderId="19" xfId="2" applyBorder="1"/>
    <xf numFmtId="0" fontId="6" fillId="0" borderId="19" xfId="2" quotePrefix="1" applyBorder="1"/>
    <xf numFmtId="0" fontId="6" fillId="0" borderId="0" xfId="2" quotePrefix="1"/>
    <xf numFmtId="37" fontId="28" fillId="0" borderId="0" xfId="2" applyNumberFormat="1" applyFont="1"/>
    <xf numFmtId="37" fontId="27" fillId="0" borderId="1" xfId="2" applyNumberFormat="1" applyFont="1" applyBorder="1"/>
    <xf numFmtId="0" fontId="27" fillId="0" borderId="21" xfId="2" applyFont="1" applyBorder="1"/>
    <xf numFmtId="0" fontId="27" fillId="0" borderId="1" xfId="2" applyFont="1" applyBorder="1"/>
    <xf numFmtId="0" fontId="27" fillId="0" borderId="22" xfId="2" applyFont="1" applyBorder="1"/>
    <xf numFmtId="37" fontId="6" fillId="0" borderId="0" xfId="2" applyNumberFormat="1"/>
    <xf numFmtId="0" fontId="6" fillId="0" borderId="23" xfId="2" applyBorder="1"/>
    <xf numFmtId="180" fontId="47" fillId="0" borderId="0" xfId="5" applyNumberFormat="1" applyFont="1" applyBorder="1"/>
    <xf numFmtId="180" fontId="47" fillId="0" borderId="24" xfId="5" applyNumberFormat="1" applyFont="1" applyBorder="1"/>
    <xf numFmtId="0" fontId="47" fillId="0" borderId="0" xfId="2" applyFont="1"/>
    <xf numFmtId="181" fontId="6" fillId="0" borderId="0" xfId="2" applyNumberFormat="1"/>
    <xf numFmtId="0" fontId="28" fillId="6" borderId="0" xfId="2" applyFont="1" applyFill="1"/>
    <xf numFmtId="37" fontId="48" fillId="0" borderId="24" xfId="2" applyNumberFormat="1" applyFont="1" applyBorder="1"/>
    <xf numFmtId="37" fontId="48" fillId="0" borderId="0" xfId="2" applyNumberFormat="1" applyFont="1"/>
    <xf numFmtId="0" fontId="6" fillId="0" borderId="24" xfId="2" applyBorder="1"/>
    <xf numFmtId="181" fontId="47" fillId="0" borderId="24" xfId="5" applyNumberFormat="1" applyFont="1" applyBorder="1"/>
    <xf numFmtId="181" fontId="47" fillId="0" borderId="0" xfId="5" applyNumberFormat="1" applyFont="1"/>
    <xf numFmtId="3" fontId="48" fillId="0" borderId="0" xfId="2" applyNumberFormat="1" applyFont="1"/>
    <xf numFmtId="3" fontId="48" fillId="0" borderId="24" xfId="2" applyNumberFormat="1" applyFont="1" applyBorder="1"/>
    <xf numFmtId="181" fontId="28" fillId="6" borderId="0" xfId="5" applyNumberFormat="1" applyFont="1" applyFill="1"/>
    <xf numFmtId="3" fontId="6" fillId="0" borderId="0" xfId="2" applyNumberFormat="1"/>
    <xf numFmtId="3" fontId="27" fillId="0" borderId="1" xfId="2" applyNumberFormat="1" applyFont="1" applyBorder="1"/>
    <xf numFmtId="182" fontId="28" fillId="6" borderId="0" xfId="2" applyNumberFormat="1" applyFont="1" applyFill="1"/>
    <xf numFmtId="3" fontId="28" fillId="6" borderId="0" xfId="2" applyNumberFormat="1" applyFont="1" applyFill="1"/>
    <xf numFmtId="3" fontId="28" fillId="0" borderId="0" xfId="2" applyNumberFormat="1" applyFont="1"/>
    <xf numFmtId="181" fontId="0" fillId="0" borderId="0" xfId="5" applyNumberFormat="1" applyFont="1"/>
    <xf numFmtId="1" fontId="6" fillId="0" borderId="0" xfId="2" applyNumberFormat="1"/>
    <xf numFmtId="181" fontId="50" fillId="6" borderId="0" xfId="5" applyNumberFormat="1" applyFont="1" applyFill="1"/>
    <xf numFmtId="0" fontId="50" fillId="6" borderId="0" xfId="2" applyFont="1" applyFill="1"/>
    <xf numFmtId="37" fontId="51" fillId="6" borderId="0" xfId="2" applyNumberFormat="1" applyFont="1" applyFill="1"/>
    <xf numFmtId="3" fontId="28" fillId="6" borderId="24" xfId="2" applyNumberFormat="1" applyFont="1" applyFill="1" applyBorder="1"/>
    <xf numFmtId="181" fontId="50" fillId="6" borderId="24" xfId="5" applyNumberFormat="1" applyFont="1" applyFill="1" applyBorder="1"/>
    <xf numFmtId="3" fontId="51" fillId="6" borderId="0" xfId="2" applyNumberFormat="1" applyFont="1" applyFill="1"/>
    <xf numFmtId="0" fontId="28" fillId="6" borderId="24" xfId="2" applyFont="1" applyFill="1" applyBorder="1"/>
    <xf numFmtId="0" fontId="46" fillId="6" borderId="0" xfId="2" applyFont="1" applyFill="1"/>
    <xf numFmtId="179" fontId="6" fillId="0" borderId="0" xfId="2" applyNumberFormat="1"/>
    <xf numFmtId="180" fontId="7" fillId="6" borderId="0" xfId="2" applyNumberFormat="1" applyFont="1" applyFill="1" applyAlignment="1">
      <alignment horizontal="center"/>
    </xf>
    <xf numFmtId="0" fontId="7" fillId="6" borderId="0" xfId="2" applyFont="1" applyFill="1"/>
    <xf numFmtId="183" fontId="7" fillId="6" borderId="0" xfId="2" applyNumberFormat="1" applyFont="1" applyFill="1" applyAlignment="1">
      <alignment horizontal="center"/>
    </xf>
    <xf numFmtId="14" fontId="7" fillId="6" borderId="0" xfId="2" applyNumberFormat="1" applyFont="1" applyFill="1" applyAlignment="1">
      <alignment horizontal="center"/>
    </xf>
    <xf numFmtId="183" fontId="6" fillId="0" borderId="0" xfId="2" applyNumberFormat="1" applyAlignment="1">
      <alignment horizontal="center"/>
    </xf>
    <xf numFmtId="0" fontId="6" fillId="14" borderId="25" xfId="2" applyFill="1" applyBorder="1" applyAlignment="1">
      <alignment horizontal="center"/>
    </xf>
    <xf numFmtId="0" fontId="30" fillId="0" borderId="19" xfId="2" applyFont="1" applyBorder="1"/>
    <xf numFmtId="0" fontId="30" fillId="0" borderId="0" xfId="2" applyFont="1"/>
    <xf numFmtId="181" fontId="6" fillId="13" borderId="20" xfId="2" applyNumberFormat="1" applyFill="1" applyBorder="1" applyAlignment="1">
      <alignment horizontal="center"/>
    </xf>
    <xf numFmtId="0" fontId="25" fillId="7" borderId="0" xfId="0" applyFont="1" applyFill="1" applyAlignment="1">
      <alignment wrapText="1"/>
    </xf>
    <xf numFmtId="0" fontId="25" fillId="7" borderId="0" xfId="0" applyFont="1" applyFill="1" applyAlignment="1">
      <alignment horizontal="righ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4" fontId="2" fillId="11" borderId="0" xfId="0" applyNumberFormat="1" applyFont="1" applyFill="1" applyAlignment="1">
      <alignment horizontal="right" wrapText="1"/>
    </xf>
    <xf numFmtId="184" fontId="2" fillId="0" borderId="0" xfId="0" applyNumberFormat="1" applyFont="1" applyAlignment="1">
      <alignment horizontal="right" wrapText="1"/>
    </xf>
    <xf numFmtId="185" fontId="2" fillId="11" borderId="0" xfId="0" applyNumberFormat="1" applyFont="1" applyFill="1" applyAlignment="1">
      <alignment horizontal="right" wrapText="1"/>
    </xf>
    <xf numFmtId="3" fontId="28" fillId="6" borderId="0" xfId="2" applyNumberFormat="1" applyFont="1" applyFill="1" applyAlignment="1">
      <alignment horizontal="right" vertical="center"/>
    </xf>
    <xf numFmtId="0" fontId="6" fillId="0" borderId="0" xfId="2" applyAlignment="1">
      <alignment horizontal="right" vertical="center"/>
    </xf>
    <xf numFmtId="0" fontId="34" fillId="6" borderId="0" xfId="0" applyFont="1" applyFill="1" applyAlignment="1">
      <alignment wrapText="1"/>
    </xf>
    <xf numFmtId="0" fontId="34" fillId="6" borderId="0" xfId="0" applyFont="1" applyFill="1" applyAlignment="1">
      <alignment horizontal="right" wrapText="1"/>
    </xf>
    <xf numFmtId="0" fontId="39" fillId="6" borderId="0" xfId="0" applyFont="1" applyFill="1" applyAlignment="1">
      <alignment wrapText="1"/>
    </xf>
    <xf numFmtId="184" fontId="39" fillId="6" borderId="0" xfId="0" applyNumberFormat="1" applyFont="1" applyFill="1" applyAlignment="1">
      <alignment horizontal="right" wrapText="1"/>
    </xf>
    <xf numFmtId="4" fontId="39" fillId="6" borderId="0" xfId="0" applyNumberFormat="1" applyFont="1" applyFill="1" applyAlignment="1">
      <alignment horizontal="right" wrapText="1"/>
    </xf>
    <xf numFmtId="10" fontId="39" fillId="6" borderId="0" xfId="0" applyNumberFormat="1" applyFont="1" applyFill="1" applyAlignment="1">
      <alignment horizontal="right" wrapText="1"/>
    </xf>
    <xf numFmtId="185" fontId="39" fillId="6" borderId="0" xfId="0" applyNumberFormat="1" applyFont="1" applyFill="1" applyAlignment="1">
      <alignment horizontal="right" wrapText="1"/>
    </xf>
    <xf numFmtId="10" fontId="6" fillId="0" borderId="0" xfId="2" applyNumberFormat="1"/>
    <xf numFmtId="10" fontId="6" fillId="0" borderId="24" xfId="2" applyNumberFormat="1" applyBorder="1"/>
    <xf numFmtId="0" fontId="6" fillId="6" borderId="0" xfId="2" applyFill="1"/>
    <xf numFmtId="0" fontId="25" fillId="6" borderId="0" xfId="0" applyFont="1" applyFill="1" applyAlignment="1">
      <alignment wrapText="1"/>
    </xf>
    <xf numFmtId="0" fontId="25" fillId="6" borderId="0" xfId="0" applyFont="1" applyFill="1" applyAlignment="1">
      <alignment horizontal="right" wrapText="1"/>
    </xf>
    <xf numFmtId="0" fontId="2" fillId="6" borderId="0" xfId="0" applyFont="1" applyFill="1" applyAlignment="1">
      <alignment wrapText="1"/>
    </xf>
    <xf numFmtId="184" fontId="2" fillId="6" borderId="0" xfId="0" applyNumberFormat="1" applyFont="1" applyFill="1" applyAlignment="1">
      <alignment horizontal="right" wrapText="1"/>
    </xf>
    <xf numFmtId="4" fontId="2" fillId="6" borderId="0" xfId="0" applyNumberFormat="1" applyFont="1" applyFill="1" applyAlignment="1">
      <alignment horizontal="right" wrapText="1"/>
    </xf>
    <xf numFmtId="10" fontId="2" fillId="6" borderId="0" xfId="0" applyNumberFormat="1" applyFont="1" applyFill="1" applyAlignment="1">
      <alignment horizontal="right" wrapText="1"/>
    </xf>
    <xf numFmtId="181" fontId="50" fillId="6" borderId="0" xfId="5" applyNumberFormat="1" applyFont="1" applyFill="1" applyBorder="1"/>
    <xf numFmtId="0" fontId="6" fillId="6" borderId="0" xfId="2" applyFill="1" applyBorder="1"/>
    <xf numFmtId="2" fontId="50" fillId="6" borderId="0" xfId="5" applyNumberFormat="1" applyFont="1" applyFill="1"/>
    <xf numFmtId="2" fontId="6" fillId="0" borderId="0" xfId="2" applyNumberFormat="1"/>
    <xf numFmtId="0" fontId="50" fillId="6" borderId="0" xfId="5" applyNumberFormat="1" applyFont="1" applyFill="1"/>
    <xf numFmtId="0" fontId="2" fillId="6" borderId="0" xfId="0" applyNumberFormat="1" applyFont="1" applyFill="1" applyAlignment="1">
      <alignment horizontal="right" wrapText="1"/>
    </xf>
    <xf numFmtId="0" fontId="6" fillId="6" borderId="0" xfId="2" applyNumberFormat="1" applyFill="1"/>
    <xf numFmtId="0" fontId="54" fillId="7" borderId="0" xfId="0" applyFont="1" applyFill="1" applyAlignment="1">
      <alignment vertical="center"/>
    </xf>
    <xf numFmtId="0" fontId="53" fillId="7" borderId="0" xfId="0" applyFont="1" applyFill="1" applyAlignment="1"/>
    <xf numFmtId="0" fontId="5" fillId="7" borderId="0" xfId="0" applyFont="1" applyFill="1" applyAlignment="1"/>
    <xf numFmtId="166" fontId="9" fillId="7" borderId="0" xfId="0" applyNumberFormat="1" applyFont="1" applyFill="1" applyAlignment="1">
      <alignment horizontal="left"/>
    </xf>
    <xf numFmtId="166" fontId="9" fillId="7" borderId="0" xfId="0" applyNumberFormat="1" applyFont="1" applyFill="1" applyAlignment="1">
      <alignment horizontal="right"/>
    </xf>
    <xf numFmtId="166" fontId="9" fillId="7" borderId="0" xfId="0" applyNumberFormat="1" applyFont="1" applyFill="1" applyAlignment="1">
      <alignment horizontal="center"/>
    </xf>
    <xf numFmtId="0" fontId="9" fillId="7" borderId="0" xfId="0" applyFont="1" applyFill="1"/>
    <xf numFmtId="0" fontId="49" fillId="7" borderId="0" xfId="2" applyFont="1" applyFill="1"/>
    <xf numFmtId="0" fontId="6" fillId="7" borderId="0" xfId="2" applyFill="1"/>
    <xf numFmtId="0" fontId="49" fillId="7" borderId="24" xfId="2" applyFont="1" applyFill="1" applyBorder="1"/>
    <xf numFmtId="0" fontId="55" fillId="7" borderId="0" xfId="0" applyFont="1" applyFill="1"/>
    <xf numFmtId="0" fontId="55" fillId="6" borderId="0" xfId="0" applyFont="1" applyFill="1"/>
    <xf numFmtId="0" fontId="56" fillId="7" borderId="0" xfId="0" applyFont="1" applyFill="1" applyAlignment="1"/>
    <xf numFmtId="0" fontId="57" fillId="7" borderId="0" xfId="0" applyFont="1" applyFill="1" applyAlignment="1"/>
    <xf numFmtId="17" fontId="56" fillId="7" borderId="0" xfId="0" applyNumberFormat="1" applyFont="1" applyFill="1" applyAlignment="1"/>
    <xf numFmtId="0" fontId="24" fillId="7" borderId="0" xfId="0" applyFont="1" applyFill="1" applyAlignment="1"/>
    <xf numFmtId="43" fontId="11" fillId="0" borderId="0" xfId="0" applyNumberFormat="1" applyFont="1"/>
    <xf numFmtId="10" fontId="11" fillId="0" borderId="0" xfId="0" applyNumberFormat="1" applyFont="1"/>
    <xf numFmtId="0" fontId="50" fillId="6" borderId="0" xfId="5" applyNumberFormat="1" applyFont="1" applyFill="1" applyBorder="1"/>
    <xf numFmtId="0" fontId="6" fillId="6" borderId="0" xfId="2" applyNumberFormat="1" applyFill="1" applyBorder="1"/>
    <xf numFmtId="0" fontId="2" fillId="6" borderId="0" xfId="0" applyNumberFormat="1" applyFont="1" applyFill="1" applyBorder="1" applyAlignment="1">
      <alignment horizontal="right" wrapText="1"/>
    </xf>
    <xf numFmtId="0" fontId="6" fillId="0" borderId="0" xfId="2" applyNumberFormat="1"/>
    <xf numFmtId="0" fontId="34" fillId="6" borderId="0" xfId="0" applyFont="1" applyFill="1" applyAlignment="1">
      <alignment horizontal="left"/>
    </xf>
    <xf numFmtId="181" fontId="50" fillId="6" borderId="0" xfId="5" applyNumberFormat="1" applyFont="1" applyFill="1" applyBorder="1" applyAlignment="1">
      <alignment horizontal="right" vertical="center"/>
    </xf>
    <xf numFmtId="181" fontId="50" fillId="0" borderId="0" xfId="5" applyNumberFormat="1" applyFont="1"/>
    <xf numFmtId="0" fontId="28" fillId="0" borderId="0" xfId="2" applyFont="1"/>
    <xf numFmtId="181" fontId="28" fillId="0" borderId="0" xfId="2" applyNumberFormat="1" applyFont="1"/>
    <xf numFmtId="0" fontId="28" fillId="0" borderId="24" xfId="2" applyFont="1" applyBorder="1"/>
    <xf numFmtId="3" fontId="58" fillId="6" borderId="0" xfId="2" applyNumberFormat="1" applyFont="1" applyFill="1" applyAlignment="1">
      <alignment horizontal="right" vertical="center"/>
    </xf>
    <xf numFmtId="181" fontId="50" fillId="0" borderId="0" xfId="5" applyNumberFormat="1" applyFont="1" applyFill="1" applyBorder="1"/>
    <xf numFmtId="180" fontId="50" fillId="0" borderId="0" xfId="5" applyNumberFormat="1" applyFont="1" applyBorder="1"/>
    <xf numFmtId="0" fontId="24" fillId="6" borderId="0" xfId="0" applyFont="1" applyFill="1" applyAlignment="1">
      <alignment vertical="center"/>
    </xf>
    <xf numFmtId="0" fontId="24" fillId="6" borderId="0" xfId="0" applyFont="1" applyFill="1" applyAlignment="1">
      <alignment wrapText="1"/>
    </xf>
    <xf numFmtId="10" fontId="42" fillId="6" borderId="0" xfId="0" applyNumberFormat="1" applyFont="1" applyFill="1" applyAlignment="1">
      <alignment horizontal="right" wrapText="1"/>
    </xf>
    <xf numFmtId="170" fontId="10" fillId="6" borderId="0" xfId="0" applyNumberFormat="1" applyFont="1" applyFill="1"/>
    <xf numFmtId="0" fontId="33" fillId="6" borderId="15" xfId="0" applyFont="1" applyFill="1" applyBorder="1" applyAlignment="1"/>
    <xf numFmtId="178" fontId="3" fillId="6" borderId="16" xfId="0" applyNumberFormat="1" applyFont="1" applyFill="1" applyBorder="1" applyAlignment="1"/>
    <xf numFmtId="3" fontId="3" fillId="0" borderId="26" xfId="0" applyNumberFormat="1" applyFont="1" applyBorder="1" applyAlignment="1">
      <alignment horizontal="right"/>
    </xf>
    <xf numFmtId="178" fontId="24" fillId="12" borderId="16" xfId="0" applyNumberFormat="1" applyFont="1" applyFill="1" applyBorder="1" applyAlignment="1">
      <alignment horizontal="right"/>
    </xf>
    <xf numFmtId="0" fontId="5" fillId="6" borderId="0" xfId="0" applyFont="1" applyFill="1" applyAlignment="1"/>
    <xf numFmtId="0" fontId="24" fillId="6" borderId="8" xfId="0" applyFont="1" applyFill="1" applyBorder="1" applyAlignment="1">
      <alignment horizontal="right"/>
    </xf>
    <xf numFmtId="0" fontId="5" fillId="6" borderId="0" xfId="0" applyFont="1" applyFill="1" applyAlignment="1">
      <alignment vertical="center"/>
    </xf>
    <xf numFmtId="4" fontId="31" fillId="6" borderId="0" xfId="0" applyNumberFormat="1" applyFont="1" applyFill="1" applyAlignment="1">
      <alignment horizontal="right"/>
    </xf>
    <xf numFmtId="10" fontId="5" fillId="6" borderId="0" xfId="0" applyNumberFormat="1" applyFont="1" applyFill="1" applyAlignment="1">
      <alignment horizontal="right"/>
    </xf>
    <xf numFmtId="10" fontId="39" fillId="6" borderId="0" xfId="0" applyNumberFormat="1" applyFont="1" applyFill="1" applyAlignment="1">
      <alignment horizontal="right"/>
    </xf>
    <xf numFmtId="4" fontId="31" fillId="6" borderId="9" xfId="0" applyNumberFormat="1" applyFont="1" applyFill="1" applyBorder="1" applyAlignment="1">
      <alignment horizontal="right"/>
    </xf>
    <xf numFmtId="10" fontId="5" fillId="6" borderId="9" xfId="0" applyNumberFormat="1" applyFont="1" applyFill="1" applyBorder="1" applyAlignment="1">
      <alignment horizontal="right"/>
    </xf>
    <xf numFmtId="0" fontId="5" fillId="6" borderId="9" xfId="0" applyFont="1" applyFill="1" applyBorder="1" applyAlignment="1"/>
    <xf numFmtId="4" fontId="5" fillId="6" borderId="0" xfId="0" applyNumberFormat="1" applyFont="1" applyFill="1" applyAlignment="1">
      <alignment horizontal="right"/>
    </xf>
    <xf numFmtId="10" fontId="5" fillId="6" borderId="10" xfId="0" applyNumberFormat="1" applyFont="1" applyFill="1" applyBorder="1" applyAlignment="1">
      <alignment horizontal="right"/>
    </xf>
    <xf numFmtId="0" fontId="24" fillId="6" borderId="8" xfId="0" applyFont="1" applyFill="1" applyBorder="1" applyAlignment="1">
      <alignment vertical="center"/>
    </xf>
    <xf numFmtId="0" fontId="5" fillId="6" borderId="8" xfId="0" applyFont="1" applyFill="1" applyBorder="1" applyAlignment="1"/>
    <xf numFmtId="0" fontId="5" fillId="6" borderId="9" xfId="0" applyFont="1" applyFill="1" applyBorder="1" applyAlignment="1">
      <alignment vertical="center"/>
    </xf>
    <xf numFmtId="0" fontId="24" fillId="6" borderId="0" xfId="0" applyFont="1" applyFill="1" applyAlignment="1"/>
    <xf numFmtId="0" fontId="6" fillId="6" borderId="0" xfId="0" applyFont="1" applyFill="1" applyAlignment="1"/>
    <xf numFmtId="0" fontId="39" fillId="8" borderId="0" xfId="0" applyFont="1" applyFill="1" applyAlignment="1"/>
    <xf numFmtId="10" fontId="39" fillId="8" borderId="0" xfId="0" applyNumberFormat="1" applyFont="1" applyFill="1" applyAlignment="1">
      <alignment horizontal="right"/>
    </xf>
    <xf numFmtId="175" fontId="3" fillId="6" borderId="0" xfId="0" applyNumberFormat="1" applyFont="1" applyFill="1" applyAlignment="1">
      <alignment wrapText="1"/>
    </xf>
    <xf numFmtId="9" fontId="3" fillId="15" borderId="0" xfId="0" applyNumberFormat="1" applyFont="1" applyFill="1" applyAlignment="1">
      <alignment wrapText="1"/>
    </xf>
    <xf numFmtId="10" fontId="3" fillId="6" borderId="0" xfId="0" applyNumberFormat="1" applyFont="1" applyFill="1" applyAlignment="1">
      <alignment horizontal="right" wrapText="1"/>
    </xf>
    <xf numFmtId="175" fontId="3" fillId="15" borderId="0" xfId="0" applyNumberFormat="1" applyFont="1" applyFill="1" applyAlignment="1">
      <alignment wrapText="1"/>
    </xf>
    <xf numFmtId="10" fontId="3" fillId="15" borderId="0" xfId="0" applyNumberFormat="1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right" wrapText="1"/>
    </xf>
    <xf numFmtId="43" fontId="3" fillId="6" borderId="0" xfId="0" applyNumberFormat="1" applyFont="1" applyFill="1" applyAlignment="1">
      <alignment horizontal="right" wrapText="1"/>
    </xf>
    <xf numFmtId="0" fontId="3" fillId="6" borderId="7" xfId="0" applyFont="1" applyFill="1" applyBorder="1" applyAlignment="1">
      <alignment wrapText="1"/>
    </xf>
    <xf numFmtId="4" fontId="24" fillId="6" borderId="7" xfId="0" applyNumberFormat="1" applyFont="1" applyFill="1" applyBorder="1" applyAlignment="1">
      <alignment horizontal="right" wrapText="1"/>
    </xf>
    <xf numFmtId="0" fontId="25" fillId="6" borderId="0" xfId="0" applyFont="1" applyFill="1" applyAlignment="1">
      <alignment vertical="center"/>
    </xf>
    <xf numFmtId="9" fontId="0" fillId="6" borderId="0" xfId="0" applyNumberFormat="1" applyFill="1"/>
    <xf numFmtId="0" fontId="52" fillId="6" borderId="19" xfId="2" applyFont="1" applyFill="1" applyBorder="1"/>
    <xf numFmtId="0" fontId="7" fillId="6" borderId="19" xfId="2" applyFont="1" applyFill="1" applyBorder="1"/>
    <xf numFmtId="0" fontId="53" fillId="6" borderId="19" xfId="2" applyFont="1" applyFill="1" applyBorder="1"/>
    <xf numFmtId="0" fontId="59" fillId="6" borderId="19" xfId="2" applyFont="1" applyFill="1" applyBorder="1"/>
    <xf numFmtId="0" fontId="53" fillId="6" borderId="0" xfId="2" applyFont="1" applyFill="1"/>
    <xf numFmtId="0" fontId="41" fillId="6" borderId="0" xfId="2" applyFont="1" applyFill="1"/>
    <xf numFmtId="181" fontId="57" fillId="6" borderId="0" xfId="5" applyNumberFormat="1" applyFont="1" applyFill="1" applyBorder="1"/>
    <xf numFmtId="0" fontId="53" fillId="6" borderId="0" xfId="2" applyFont="1" applyFill="1" applyBorder="1"/>
    <xf numFmtId="3" fontId="53" fillId="6" borderId="0" xfId="2" applyNumberFormat="1" applyFont="1" applyFill="1" applyBorder="1"/>
    <xf numFmtId="181" fontId="53" fillId="6" borderId="0" xfId="2" applyNumberFormat="1" applyFont="1" applyFill="1" applyBorder="1" applyAlignment="1">
      <alignment horizontal="right"/>
    </xf>
    <xf numFmtId="181" fontId="53" fillId="6" borderId="0" xfId="2" applyNumberFormat="1" applyFont="1" applyFill="1" applyBorder="1"/>
    <xf numFmtId="0" fontId="53" fillId="6" borderId="0" xfId="2" applyFont="1" applyFill="1" applyBorder="1" applyAlignment="1">
      <alignment horizontal="right"/>
    </xf>
    <xf numFmtId="0" fontId="41" fillId="16" borderId="0" xfId="2" applyFont="1" applyFill="1" applyBorder="1"/>
    <xf numFmtId="0" fontId="53" fillId="16" borderId="0" xfId="2" applyFont="1" applyFill="1" applyBorder="1"/>
    <xf numFmtId="10" fontId="41" fillId="6" borderId="0" xfId="2" applyNumberFormat="1" applyFont="1" applyFill="1" applyBorder="1"/>
    <xf numFmtId="0" fontId="28" fillId="6" borderId="0" xfId="2" applyFont="1" applyFill="1" applyBorder="1"/>
    <xf numFmtId="187" fontId="6" fillId="6" borderId="20" xfId="2" applyNumberFormat="1" applyFill="1" applyBorder="1" applyAlignment="1">
      <alignment horizontal="right"/>
    </xf>
    <xf numFmtId="187" fontId="6" fillId="6" borderId="18" xfId="2" applyNumberFormat="1" applyFill="1" applyBorder="1" applyAlignment="1">
      <alignment horizontal="right"/>
    </xf>
    <xf numFmtId="4" fontId="0" fillId="6" borderId="0" xfId="0" applyNumberFormat="1" applyFill="1"/>
    <xf numFmtId="10" fontId="6" fillId="17" borderId="20" xfId="2" applyNumberFormat="1" applyFill="1" applyBorder="1" applyAlignment="1">
      <alignment horizontal="center"/>
    </xf>
    <xf numFmtId="4" fontId="3" fillId="6" borderId="16" xfId="0" applyNumberFormat="1" applyFont="1" applyFill="1" applyBorder="1" applyAlignment="1">
      <alignment horizontal="right"/>
    </xf>
    <xf numFmtId="10" fontId="24" fillId="6" borderId="7" xfId="0" applyNumberFormat="1" applyFont="1" applyFill="1" applyBorder="1" applyAlignment="1">
      <alignment horizontal="right"/>
    </xf>
    <xf numFmtId="10" fontId="24" fillId="6" borderId="0" xfId="0" applyNumberFormat="1" applyFont="1" applyFill="1" applyAlignment="1">
      <alignment horizontal="right"/>
    </xf>
    <xf numFmtId="10" fontId="3" fillId="6" borderId="16" xfId="0" applyNumberFormat="1" applyFont="1" applyFill="1" applyBorder="1" applyAlignment="1">
      <alignment horizontal="right"/>
    </xf>
    <xf numFmtId="0" fontId="3" fillId="6" borderId="7" xfId="0" applyFont="1" applyFill="1" applyBorder="1" applyAlignment="1"/>
    <xf numFmtId="173" fontId="5" fillId="6" borderId="0" xfId="0" applyNumberFormat="1" applyFont="1" applyFill="1" applyAlignment="1">
      <alignment horizontal="right"/>
    </xf>
    <xf numFmtId="10" fontId="5" fillId="6" borderId="8" xfId="0" applyNumberFormat="1" applyFont="1" applyFill="1" applyBorder="1" applyAlignment="1">
      <alignment horizontal="right"/>
    </xf>
    <xf numFmtId="2" fontId="5" fillId="6" borderId="0" xfId="0" applyNumberFormat="1" applyFont="1" applyFill="1" applyAlignment="1">
      <alignment horizontal="right"/>
    </xf>
    <xf numFmtId="2" fontId="5" fillId="6" borderId="8" xfId="0" applyNumberFormat="1" applyFont="1" applyFill="1" applyBorder="1" applyAlignment="1">
      <alignment horizontal="right"/>
    </xf>
    <xf numFmtId="10" fontId="31" fillId="17" borderId="0" xfId="0" applyNumberFormat="1" applyFont="1" applyFill="1" applyAlignment="1">
      <alignment horizontal="right"/>
    </xf>
    <xf numFmtId="176" fontId="3" fillId="6" borderId="0" xfId="0" applyNumberFormat="1" applyFont="1" applyFill="1" applyAlignment="1">
      <alignment horizontal="right" wrapText="1"/>
    </xf>
    <xf numFmtId="4" fontId="53" fillId="6" borderId="0" xfId="0" applyNumberFormat="1" applyFont="1" applyFill="1" applyAlignment="1">
      <alignment wrapText="1"/>
    </xf>
    <xf numFmtId="0" fontId="24" fillId="6" borderId="7" xfId="0" applyFont="1" applyFill="1" applyBorder="1" applyAlignment="1">
      <alignment horizontal="right" wrapText="1"/>
    </xf>
    <xf numFmtId="4" fontId="3" fillId="6" borderId="0" xfId="0" applyNumberFormat="1" applyFont="1" applyFill="1" applyAlignment="1">
      <alignment horizontal="right" wrapText="1"/>
    </xf>
    <xf numFmtId="39" fontId="27" fillId="6" borderId="1" xfId="2" applyNumberFormat="1" applyFont="1" applyFill="1" applyBorder="1"/>
    <xf numFmtId="14" fontId="6" fillId="6" borderId="0" xfId="2" applyNumberFormat="1" applyFill="1"/>
    <xf numFmtId="37" fontId="28" fillId="6" borderId="0" xfId="2" applyNumberFormat="1" applyFont="1" applyFill="1"/>
    <xf numFmtId="0" fontId="6" fillId="6" borderId="19" xfId="2" applyFill="1" applyBorder="1"/>
    <xf numFmtId="37" fontId="28" fillId="6" borderId="19" xfId="2" applyNumberFormat="1" applyFont="1" applyFill="1" applyBorder="1"/>
    <xf numFmtId="0" fontId="27" fillId="6" borderId="0" xfId="2" applyFont="1" applyFill="1"/>
    <xf numFmtId="37" fontId="46" fillId="6" borderId="0" xfId="2" applyNumberFormat="1" applyFont="1" applyFill="1"/>
    <xf numFmtId="186" fontId="27" fillId="6" borderId="27" xfId="2" applyNumberFormat="1" applyFont="1" applyFill="1" applyBorder="1"/>
    <xf numFmtId="0" fontId="34" fillId="0" borderId="0" xfId="0" applyFont="1" applyAlignment="1"/>
    <xf numFmtId="0" fontId="34" fillId="0" borderId="0" xfId="0" applyFont="1" applyAlignment="1">
      <alignment horizontal="right"/>
    </xf>
    <xf numFmtId="0" fontId="60" fillId="7" borderId="0" xfId="0" applyFont="1" applyFill="1" applyAlignment="1">
      <alignment vertical="center"/>
    </xf>
    <xf numFmtId="0" fontId="36" fillId="0" borderId="0" xfId="0" applyFont="1" applyAlignment="1"/>
    <xf numFmtId="0" fontId="24" fillId="6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wrapText="1"/>
    </xf>
    <xf numFmtId="4" fontId="24" fillId="6" borderId="4" xfId="0" applyNumberFormat="1" applyFont="1" applyFill="1" applyBorder="1" applyAlignment="1">
      <alignment horizontal="right" wrapText="1"/>
    </xf>
    <xf numFmtId="0" fontId="24" fillId="6" borderId="4" xfId="0" applyFont="1" applyFill="1" applyBorder="1" applyAlignment="1">
      <alignment wrapText="1"/>
    </xf>
    <xf numFmtId="2" fontId="24" fillId="6" borderId="4" xfId="0" applyNumberFormat="1" applyFont="1" applyFill="1" applyBorder="1" applyAlignment="1">
      <alignment horizontal="right" wrapText="1"/>
    </xf>
    <xf numFmtId="0" fontId="0" fillId="6" borderId="10" xfId="0" applyFill="1" applyBorder="1"/>
    <xf numFmtId="0" fontId="43" fillId="6" borderId="10" xfId="0" applyFont="1" applyFill="1" applyBorder="1"/>
    <xf numFmtId="0" fontId="33" fillId="6" borderId="28" xfId="0" applyFont="1" applyFill="1" applyBorder="1"/>
    <xf numFmtId="177" fontId="33" fillId="6" borderId="28" xfId="0" applyNumberFormat="1" applyFont="1" applyFill="1" applyBorder="1"/>
    <xf numFmtId="0" fontId="61" fillId="0" borderId="0" xfId="0" applyFont="1" applyAlignment="1">
      <alignment vertical="center"/>
    </xf>
    <xf numFmtId="0" fontId="1" fillId="6" borderId="0" xfId="0" applyFont="1" applyFill="1" applyAlignment="1"/>
    <xf numFmtId="0" fontId="1" fillId="6" borderId="0" xfId="0" applyFont="1" applyFill="1" applyAlignment="1">
      <alignment vertical="top"/>
    </xf>
    <xf numFmtId="0" fontId="27" fillId="0" borderId="0" xfId="0" applyFont="1" applyAlignment="1"/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26" fillId="7" borderId="0" xfId="0" applyFont="1" applyFill="1" applyAlignment="1">
      <alignment horizontal="center" wrapText="1"/>
    </xf>
    <xf numFmtId="0" fontId="25" fillId="7" borderId="17" xfId="0" applyFont="1" applyFill="1" applyBorder="1" applyAlignment="1">
      <alignment horizontal="center"/>
    </xf>
    <xf numFmtId="0" fontId="24" fillId="0" borderId="0" xfId="0" applyFont="1" applyAlignment="1">
      <alignment horizontal="center" wrapText="1"/>
    </xf>
    <xf numFmtId="0" fontId="24" fillId="6" borderId="0" xfId="0" applyFont="1" applyFill="1" applyAlignment="1">
      <alignment horizontal="center" wrapText="1"/>
    </xf>
    <xf numFmtId="0" fontId="34" fillId="6" borderId="0" xfId="0" applyFont="1" applyFill="1" applyAlignment="1">
      <alignment horizontal="center" wrapText="1"/>
    </xf>
    <xf numFmtId="43" fontId="12" fillId="0" borderId="0" xfId="4" applyNumberFormat="1" applyFont="1" applyBorder="1" applyAlignment="1" applyProtection="1">
      <alignment horizontal="center"/>
    </xf>
    <xf numFmtId="43" fontId="9" fillId="4" borderId="0" xfId="3" applyNumberFormat="1" applyFont="1" applyBorder="1" applyAlignment="1">
      <alignment horizontal="center"/>
    </xf>
    <xf numFmtId="0" fontId="33" fillId="10" borderId="0" xfId="0" applyFont="1" applyFill="1" applyAlignment="1">
      <alignment horizontal="center"/>
    </xf>
  </cellXfs>
  <cellStyles count="9">
    <cellStyle name="60% - Accent1 2" xfId="7" xr:uid="{4AE76B85-E27B-454C-8AE3-28348365F76A}"/>
    <cellStyle name="60% - Accent3 2" xfId="6" xr:uid="{067EFE6A-57C7-4180-8A2F-5FAA358883EF}"/>
    <cellStyle name="Accent6 2" xfId="3" xr:uid="{74419D96-9614-4584-A8AC-5B1305DF932F}"/>
    <cellStyle name="Comma 2" xfId="1" xr:uid="{6A228AF1-2622-4D07-BD19-04551CE745A6}"/>
    <cellStyle name="Hyperlink 2" xfId="4" xr:uid="{BB772C96-D710-4892-8F5C-B3280867710F}"/>
    <cellStyle name="Normal" xfId="0" builtinId="0"/>
    <cellStyle name="Normal 2" xfId="2" xr:uid="{39D3FFC8-0E77-4810-BACF-E5A56734250D}"/>
    <cellStyle name="Per cent" xfId="8" builtinId="5"/>
    <cellStyle name="Per cent 2" xfId="5" xr:uid="{A0B3D9B1-765F-4ECA-A55C-CFB78E94E30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</xdr:colOff>
      <xdr:row>0</xdr:row>
      <xdr:rowOff>0</xdr:rowOff>
    </xdr:from>
    <xdr:to>
      <xdr:col>2</xdr:col>
      <xdr:colOff>281940</xdr:colOff>
      <xdr:row>5</xdr:row>
      <xdr:rowOff>49056</xdr:rowOff>
    </xdr:to>
    <xdr:pic>
      <xdr:nvPicPr>
        <xdr:cNvPr id="3" name="Picture 2" descr="Marksans Pharma Ltd: Detailed Fundamental Analysis - Dr Vijay Malik">
          <a:extLst>
            <a:ext uri="{FF2B5EF4-FFF2-40B4-BE49-F238E27FC236}">
              <a16:creationId xmlns:a16="http://schemas.microsoft.com/office/drawing/2014/main" id="{E9C4B106-8465-4ECA-9D5B-778A1B5DF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0"/>
          <a:ext cx="2103120" cy="925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4085-403F-4664-9CEC-477FDDB2E549}">
  <sheetPr>
    <tabColor theme="8" tint="-0.499984740745262"/>
  </sheetPr>
  <dimension ref="A1"/>
  <sheetViews>
    <sheetView workbookViewId="0">
      <selection activeCell="L28" sqref="L28"/>
    </sheetView>
  </sheetViews>
  <sheetFormatPr defaultRowHeight="13.8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5343-E988-4F78-AB44-4320B55F1A00}">
  <dimension ref="A7:J148"/>
  <sheetViews>
    <sheetView showGridLines="0" zoomScale="80" zoomScaleNormal="80" workbookViewId="0">
      <pane xSplit="1" ySplit="8" topLeftCell="B19" activePane="bottomRight" state="frozen"/>
      <selection pane="topRight" activeCell="B1" sqref="B1"/>
      <selection pane="bottomLeft" activeCell="A4" sqref="A4"/>
      <selection pane="bottomRight" activeCell="D32" sqref="D32"/>
    </sheetView>
  </sheetViews>
  <sheetFormatPr defaultRowHeight="13.8" outlineLevelRow="2"/>
  <cols>
    <col min="1" max="1" width="1.75" style="1" customWidth="1"/>
    <col min="2" max="2" width="30.875" style="1" bestFit="1" customWidth="1"/>
    <col min="3" max="3" width="17.75" style="1" bestFit="1" customWidth="1"/>
    <col min="4" max="10" width="14.625" style="1" customWidth="1"/>
    <col min="11" max="16384" width="9" style="1"/>
  </cols>
  <sheetData>
    <row r="7" spans="1:10">
      <c r="B7" s="440"/>
      <c r="C7" s="440"/>
      <c r="D7" s="440"/>
      <c r="E7" s="440"/>
      <c r="F7" s="440"/>
      <c r="G7" s="440"/>
      <c r="H7" s="440"/>
      <c r="I7" s="440"/>
      <c r="J7" s="440"/>
    </row>
    <row r="8" spans="1:10">
      <c r="B8" s="317" t="s">
        <v>57</v>
      </c>
      <c r="C8" s="317"/>
      <c r="D8" s="315">
        <f>'Data Sheet'!E16</f>
        <v>43921</v>
      </c>
      <c r="E8" s="315">
        <f>'Data Sheet'!F16</f>
        <v>44286</v>
      </c>
      <c r="F8" s="315">
        <f>'Data Sheet'!G16</f>
        <v>44651</v>
      </c>
      <c r="G8" s="315">
        <f>'Data Sheet'!H16</f>
        <v>45016</v>
      </c>
      <c r="H8" s="315">
        <f>'Data Sheet'!I16</f>
        <v>45382</v>
      </c>
      <c r="I8" s="315">
        <f>'Data Sheet'!J16</f>
        <v>45747</v>
      </c>
      <c r="J8" s="315">
        <f>'Data Sheet'!K16</f>
        <v>46112</v>
      </c>
    </row>
    <row r="9" spans="1:10" s="17" customFormat="1">
      <c r="B9" s="18"/>
      <c r="C9" s="18"/>
      <c r="D9" s="19"/>
      <c r="E9" s="19"/>
      <c r="F9" s="19"/>
      <c r="G9" s="19"/>
      <c r="H9" s="19"/>
      <c r="I9" s="19"/>
      <c r="J9" s="19"/>
    </row>
    <row r="10" spans="1:10">
      <c r="A10" s="1" t="s">
        <v>58</v>
      </c>
      <c r="B10" s="317" t="s">
        <v>59</v>
      </c>
      <c r="C10" s="321"/>
      <c r="D10" s="321"/>
      <c r="E10" s="321"/>
      <c r="F10" s="321"/>
      <c r="G10" s="321"/>
      <c r="H10" s="321"/>
      <c r="I10" s="321"/>
      <c r="J10" s="321"/>
    </row>
    <row r="11" spans="1:10" outlineLevel="1">
      <c r="B11" s="10" t="str">
        <f>'Data Sheet'!A17</f>
        <v>Sales</v>
      </c>
      <c r="D11" s="11">
        <f>IFERROR('Data Sheet'!E17,"-")</f>
        <v>1134.21</v>
      </c>
      <c r="E11" s="11">
        <f>IFERROR('Data Sheet'!F17,"-")</f>
        <v>1376.18</v>
      </c>
      <c r="F11" s="11">
        <f>IFERROR('Data Sheet'!G17,"-")</f>
        <v>1490.84</v>
      </c>
      <c r="G11" s="11">
        <f>IFERROR('Data Sheet'!H17,"-")</f>
        <v>1852.14</v>
      </c>
      <c r="H11" s="11">
        <f>IFERROR('Data Sheet'!I17,"-")</f>
        <v>2177.41</v>
      </c>
      <c r="I11" s="11">
        <f>IFERROR('Data Sheet'!J17,"-")</f>
        <v>2622.85</v>
      </c>
      <c r="J11" s="11">
        <f>IFERROR('Data Sheet'!K17,"-")</f>
        <v>2950.94</v>
      </c>
    </row>
    <row r="12" spans="1:10" s="13" customFormat="1" ht="14.4" outlineLevel="1">
      <c r="B12" s="14" t="s">
        <v>55</v>
      </c>
      <c r="D12" s="15"/>
      <c r="E12" s="16">
        <f>(E11-D11)/D11</f>
        <v>0.21333791802223576</v>
      </c>
      <c r="F12" s="16">
        <f t="shared" ref="F12:J12" si="0">(F11-E11)/E11</f>
        <v>8.3317589268845541E-2</v>
      </c>
      <c r="G12" s="16">
        <f t="shared" si="0"/>
        <v>0.24234659654959634</v>
      </c>
      <c r="H12" s="16">
        <f t="shared" si="0"/>
        <v>0.17561847376548195</v>
      </c>
      <c r="I12" s="16">
        <f t="shared" si="0"/>
        <v>0.20457332335205591</v>
      </c>
      <c r="J12" s="16">
        <f t="shared" si="0"/>
        <v>0.12508912061307362</v>
      </c>
    </row>
    <row r="13" spans="1:10" outlineLevel="1">
      <c r="B13" s="10"/>
      <c r="D13" s="11"/>
      <c r="E13" s="11"/>
      <c r="F13" s="11"/>
      <c r="G13" s="11"/>
      <c r="H13" s="11"/>
      <c r="I13" s="11"/>
      <c r="J13" s="11"/>
    </row>
    <row r="14" spans="1:10" outlineLevel="1">
      <c r="B14" s="10" t="s">
        <v>60</v>
      </c>
      <c r="D14" s="11">
        <f>IFERROR(SUM('Data Sheet'!E18,'Data Sheet'!E20:E22)-1*'Data Sheet'!E19,0)</f>
        <v>782.38</v>
      </c>
      <c r="E14" s="11">
        <f>IFERROR(SUM('Data Sheet'!F18,'Data Sheet'!F20:F22)-1*'Data Sheet'!F19,0)</f>
        <v>842.82999999999993</v>
      </c>
      <c r="F14" s="11">
        <f>IFERROR(SUM('Data Sheet'!G18,'Data Sheet'!G20:G22)-1*'Data Sheet'!G19,0)</f>
        <v>968.43999999999994</v>
      </c>
      <c r="G14" s="11">
        <f>IFERROR(SUM('Data Sheet'!H18,'Data Sheet'!H20:H22)-1*'Data Sheet'!H19,0)</f>
        <v>1203.97</v>
      </c>
      <c r="H14" s="11">
        <f>IFERROR(SUM('Data Sheet'!I18,'Data Sheet'!I20:I22)-1*'Data Sheet'!I19,0)</f>
        <v>1456.0000000000002</v>
      </c>
      <c r="I14" s="11">
        <f>IFERROR(SUM('Data Sheet'!J18,'Data Sheet'!J20:J22)-1*'Data Sheet'!J19,0)</f>
        <v>1674.1999999999998</v>
      </c>
      <c r="J14" s="11">
        <f>IFERROR(SUM('Data Sheet'!K18,'Data Sheet'!K20:K22)-1*'Data Sheet'!K19,0)</f>
        <v>1908.1699999999998</v>
      </c>
    </row>
    <row r="15" spans="1:10" ht="14.4" outlineLevel="1">
      <c r="B15" s="14" t="s">
        <v>61</v>
      </c>
      <c r="C15" s="13"/>
      <c r="D15" s="16">
        <f>D14/D11</f>
        <v>0.68980171220497088</v>
      </c>
      <c r="E15" s="16">
        <f t="shared" ref="E15:J15" si="1">E14/E11</f>
        <v>0.61244168640730134</v>
      </c>
      <c r="F15" s="16">
        <f t="shared" si="1"/>
        <v>0.64959351774838348</v>
      </c>
      <c r="G15" s="16">
        <f t="shared" si="1"/>
        <v>0.65004265336313671</v>
      </c>
      <c r="H15" s="16">
        <f t="shared" si="1"/>
        <v>0.66868435434759665</v>
      </c>
      <c r="I15" s="16">
        <f t="shared" si="1"/>
        <v>0.63831328516689856</v>
      </c>
      <c r="J15" s="16">
        <f t="shared" si="1"/>
        <v>0.64663124292598284</v>
      </c>
    </row>
    <row r="16" spans="1:10" outlineLevel="1">
      <c r="B16" s="10"/>
      <c r="D16" s="11"/>
      <c r="E16" s="11"/>
      <c r="F16" s="11"/>
      <c r="G16" s="11"/>
      <c r="H16" s="11"/>
      <c r="I16" s="11"/>
      <c r="J16" s="11"/>
    </row>
    <row r="17" spans="2:10" s="9" customFormat="1" outlineLevel="1">
      <c r="B17" s="50" t="s">
        <v>62</v>
      </c>
      <c r="C17" s="51"/>
      <c r="D17" s="52">
        <f>D11-D14</f>
        <v>351.83000000000004</v>
      </c>
      <c r="E17" s="52">
        <f t="shared" ref="E17:J17" si="2">E11-E14</f>
        <v>533.35000000000014</v>
      </c>
      <c r="F17" s="52">
        <f t="shared" si="2"/>
        <v>522.4</v>
      </c>
      <c r="G17" s="52">
        <f t="shared" si="2"/>
        <v>648.17000000000007</v>
      </c>
      <c r="H17" s="52">
        <f t="shared" si="2"/>
        <v>721.40999999999963</v>
      </c>
      <c r="I17" s="52">
        <f t="shared" si="2"/>
        <v>948.65000000000009</v>
      </c>
      <c r="J17" s="52">
        <f t="shared" si="2"/>
        <v>1042.7700000000002</v>
      </c>
    </row>
    <row r="18" spans="2:10" ht="14.4" outlineLevel="1">
      <c r="B18" s="10" t="s">
        <v>70</v>
      </c>
      <c r="C18" s="14"/>
      <c r="D18" s="16">
        <f>D17/D11</f>
        <v>0.31019828779502917</v>
      </c>
      <c r="E18" s="16">
        <f t="shared" ref="E18:J18" si="3">E17/E11</f>
        <v>0.38755831359269871</v>
      </c>
      <c r="F18" s="16">
        <f t="shared" si="3"/>
        <v>0.35040648225161652</v>
      </c>
      <c r="G18" s="16">
        <f t="shared" si="3"/>
        <v>0.34995734663686334</v>
      </c>
      <c r="H18" s="16">
        <f t="shared" si="3"/>
        <v>0.3313156456524034</v>
      </c>
      <c r="I18" s="16">
        <f t="shared" si="3"/>
        <v>0.36168671483310144</v>
      </c>
      <c r="J18" s="16">
        <f t="shared" si="3"/>
        <v>0.35336875707401716</v>
      </c>
    </row>
    <row r="19" spans="2:10" outlineLevel="1">
      <c r="B19" s="10"/>
      <c r="D19" s="11"/>
      <c r="E19" s="11"/>
      <c r="F19" s="11"/>
      <c r="G19" s="11"/>
      <c r="H19" s="11"/>
      <c r="I19" s="11"/>
      <c r="J19" s="11"/>
    </row>
    <row r="20" spans="2:10" outlineLevel="1">
      <c r="B20" s="10" t="s">
        <v>63</v>
      </c>
      <c r="D20" s="11">
        <f>IFERROR(SUM('Data Sheet'!E23:E24),0)</f>
        <v>159.57999999999998</v>
      </c>
      <c r="E20" s="11">
        <f>IFERROR(SUM('Data Sheet'!F23:F24),0)</f>
        <v>193.72000000000003</v>
      </c>
      <c r="F20" s="11">
        <f>IFERROR(SUM('Data Sheet'!G23:G24),0)</f>
        <v>263.51</v>
      </c>
      <c r="G20" s="11">
        <f>IFERROR(SUM('Data Sheet'!H23:H24),0)</f>
        <v>308.58000000000004</v>
      </c>
      <c r="H20" s="11">
        <f>IFERROR(SUM('Data Sheet'!I23:I24),0)</f>
        <v>262.83</v>
      </c>
      <c r="I20" s="11">
        <f>IFERROR(SUM('Data Sheet'!J23:J24),0)</f>
        <v>415.94</v>
      </c>
      <c r="J20" s="11">
        <f>IFERROR(SUM('Data Sheet'!K23:K24),0)</f>
        <v>441.90999999999997</v>
      </c>
    </row>
    <row r="21" spans="2:10" ht="14.4" outlineLevel="1">
      <c r="B21" s="14" t="s">
        <v>64</v>
      </c>
      <c r="C21" s="13"/>
      <c r="D21" s="16">
        <f>D20/D11</f>
        <v>0.14069704904735453</v>
      </c>
      <c r="E21" s="16">
        <f t="shared" ref="E21:J21" si="4">E20/E11</f>
        <v>0.14076646950253602</v>
      </c>
      <c r="F21" s="16">
        <f t="shared" si="4"/>
        <v>0.17675270317404954</v>
      </c>
      <c r="G21" s="16">
        <f t="shared" si="4"/>
        <v>0.16660727590786875</v>
      </c>
      <c r="H21" s="16">
        <f t="shared" si="4"/>
        <v>0.12070762970685356</v>
      </c>
      <c r="I21" s="16">
        <f t="shared" si="4"/>
        <v>0.15858322054253962</v>
      </c>
      <c r="J21" s="16">
        <f t="shared" si="4"/>
        <v>0.14975228232359858</v>
      </c>
    </row>
    <row r="22" spans="2:10" outlineLevel="1">
      <c r="B22" s="10"/>
      <c r="D22" s="11"/>
      <c r="E22" s="11"/>
      <c r="F22" s="11"/>
      <c r="G22" s="11"/>
      <c r="H22" s="11"/>
      <c r="I22" s="11"/>
      <c r="J22" s="11"/>
    </row>
    <row r="23" spans="2:10" outlineLevel="1">
      <c r="B23" s="50" t="s">
        <v>65</v>
      </c>
      <c r="C23" s="51"/>
      <c r="D23" s="52">
        <f>D17-D20</f>
        <v>192.25000000000006</v>
      </c>
      <c r="E23" s="52">
        <f t="shared" ref="E23:J23" si="5">E17-E20</f>
        <v>339.63000000000011</v>
      </c>
      <c r="F23" s="52">
        <f t="shared" si="5"/>
        <v>258.89</v>
      </c>
      <c r="G23" s="52">
        <f t="shared" si="5"/>
        <v>339.59000000000003</v>
      </c>
      <c r="H23" s="52">
        <f t="shared" si="5"/>
        <v>458.57999999999964</v>
      </c>
      <c r="I23" s="52">
        <f t="shared" si="5"/>
        <v>532.71</v>
      </c>
      <c r="J23" s="52">
        <f t="shared" si="5"/>
        <v>600.86000000000024</v>
      </c>
    </row>
    <row r="24" spans="2:10" ht="14.4" outlineLevel="1">
      <c r="B24" s="14" t="s">
        <v>66</v>
      </c>
      <c r="C24" s="13"/>
      <c r="D24" s="16">
        <f>D23/D11</f>
        <v>0.16950123874767464</v>
      </c>
      <c r="E24" s="16">
        <f t="shared" ref="E24:J24" si="6">E23/E11</f>
        <v>0.24679184409016269</v>
      </c>
      <c r="F24" s="16">
        <f t="shared" si="6"/>
        <v>0.17365377907756702</v>
      </c>
      <c r="G24" s="16">
        <f t="shared" si="6"/>
        <v>0.18335007072899456</v>
      </c>
      <c r="H24" s="16">
        <f t="shared" si="6"/>
        <v>0.21060801594554984</v>
      </c>
      <c r="I24" s="16">
        <f t="shared" si="6"/>
        <v>0.20310349429056182</v>
      </c>
      <c r="J24" s="16">
        <f t="shared" si="6"/>
        <v>0.20361647475041858</v>
      </c>
    </row>
    <row r="25" spans="2:10" outlineLevel="1">
      <c r="B25" s="10"/>
      <c r="D25" s="11"/>
      <c r="E25" s="11"/>
      <c r="F25" s="11"/>
      <c r="G25" s="11"/>
      <c r="H25" s="11"/>
      <c r="I25" s="11"/>
      <c r="J25" s="11"/>
    </row>
    <row r="26" spans="2:10" outlineLevel="1">
      <c r="B26" s="10" t="s">
        <v>1</v>
      </c>
      <c r="D26" s="11">
        <f>IFERROR('Data Sheet'!E27,0)</f>
        <v>8.75</v>
      </c>
      <c r="E26" s="11">
        <f>IFERROR('Data Sheet'!F27,0)</f>
        <v>7.99</v>
      </c>
      <c r="F26" s="11">
        <f>IFERROR('Data Sheet'!G27,0)</f>
        <v>8.4499999999999993</v>
      </c>
      <c r="G26" s="11">
        <f>IFERROR('Data Sheet'!H27,0)</f>
        <v>9.1300000000000008</v>
      </c>
      <c r="H26" s="11">
        <f>IFERROR('Data Sheet'!I27,0)</f>
        <v>11.2</v>
      </c>
      <c r="I26" s="11">
        <f>IFERROR('Data Sheet'!J27,0)</f>
        <v>11.66</v>
      </c>
      <c r="J26" s="11">
        <f>IFERROR('Data Sheet'!K27,0)</f>
        <v>24.13</v>
      </c>
    </row>
    <row r="27" spans="2:10" ht="14.4" outlineLevel="1">
      <c r="B27" s="14" t="s">
        <v>67</v>
      </c>
      <c r="C27" s="13"/>
      <c r="D27" s="16">
        <f>D26/D11</f>
        <v>7.7146207492439665E-3</v>
      </c>
      <c r="E27" s="16">
        <f t="shared" ref="E27:J27" si="7">E26/E11</f>
        <v>5.8059265503059192E-3</v>
      </c>
      <c r="F27" s="16">
        <f t="shared" si="7"/>
        <v>5.6679455877223575E-3</v>
      </c>
      <c r="G27" s="16">
        <f t="shared" si="7"/>
        <v>4.9294329802282762E-3</v>
      </c>
      <c r="H27" s="16">
        <f t="shared" si="7"/>
        <v>5.1437258026738189E-3</v>
      </c>
      <c r="I27" s="16">
        <f t="shared" si="7"/>
        <v>4.4455458756695963E-3</v>
      </c>
      <c r="J27" s="16">
        <f t="shared" si="7"/>
        <v>8.1770554467390042E-3</v>
      </c>
    </row>
    <row r="28" spans="2:10" outlineLevel="1"/>
    <row r="29" spans="2:10" outlineLevel="1">
      <c r="B29" s="1" t="s">
        <v>68</v>
      </c>
      <c r="D29" s="11">
        <f>IFERROR('Data Sheet'!E26,0)</f>
        <v>26.66</v>
      </c>
      <c r="E29" s="11">
        <f>IFERROR('Data Sheet'!F26,0)</f>
        <v>36.15</v>
      </c>
      <c r="F29" s="11">
        <f>IFERROR('Data Sheet'!G26,0)</f>
        <v>44.78</v>
      </c>
      <c r="G29" s="11">
        <f>IFERROR('Data Sheet'!H26,0)</f>
        <v>51.85</v>
      </c>
      <c r="H29" s="11">
        <f>IFERROR('Data Sheet'!I26,0)</f>
        <v>74.27</v>
      </c>
      <c r="I29" s="11">
        <f>IFERROR('Data Sheet'!J26,0)</f>
        <v>83.39</v>
      </c>
      <c r="J29" s="11">
        <f>IFERROR('Data Sheet'!K26,0)</f>
        <v>98.63</v>
      </c>
    </row>
    <row r="30" spans="2:10" ht="14.4" outlineLevel="1">
      <c r="B30" s="14" t="s">
        <v>69</v>
      </c>
      <c r="C30" s="13"/>
      <c r="D30" s="16">
        <f>D29/D11</f>
        <v>2.3505347334267904E-2</v>
      </c>
      <c r="E30" s="16">
        <f t="shared" ref="E30:J30" si="8">E29/E11</f>
        <v>2.6268366056765829E-2</v>
      </c>
      <c r="F30" s="16">
        <f t="shared" si="8"/>
        <v>3.0036757800971266E-2</v>
      </c>
      <c r="G30" s="16">
        <f t="shared" si="8"/>
        <v>2.7994644033388406E-2</v>
      </c>
      <c r="H30" s="16">
        <f t="shared" si="8"/>
        <v>3.4109331728980764E-2</v>
      </c>
      <c r="I30" s="16">
        <f t="shared" si="8"/>
        <v>3.1793659568789677E-2</v>
      </c>
      <c r="J30" s="16">
        <f t="shared" si="8"/>
        <v>3.3423248185323995E-2</v>
      </c>
    </row>
    <row r="31" spans="2:10" outlineLevel="1"/>
    <row r="32" spans="2:10" outlineLevel="1">
      <c r="B32" s="51" t="s">
        <v>71</v>
      </c>
      <c r="C32" s="51"/>
      <c r="D32" s="53">
        <f>'Data Sheet'!E28</f>
        <v>157.16999999999999</v>
      </c>
      <c r="E32" s="53">
        <f>'Data Sheet'!F28</f>
        <v>302.17</v>
      </c>
      <c r="F32" s="53">
        <f>'Data Sheet'!G28</f>
        <v>247.51</v>
      </c>
      <c r="G32" s="53">
        <f>'Data Sheet'!H28</f>
        <v>337.66</v>
      </c>
      <c r="H32" s="53">
        <f>'Data Sheet'!I28</f>
        <v>423.53</v>
      </c>
      <c r="I32" s="53">
        <f>'Data Sheet'!J28</f>
        <v>503.96</v>
      </c>
      <c r="J32" s="53">
        <f>'Data Sheet'!K28</f>
        <v>560.55999999999995</v>
      </c>
    </row>
    <row r="33" spans="2:10" ht="14.4" outlineLevel="1">
      <c r="B33" s="14" t="s">
        <v>72</v>
      </c>
      <c r="C33" s="13"/>
      <c r="D33" s="16">
        <f>D32/D11</f>
        <v>0.13857222207527706</v>
      </c>
      <c r="E33" s="16">
        <f t="shared" ref="E33:J33" si="9">E32/E11</f>
        <v>0.21957156767283351</v>
      </c>
      <c r="F33" s="16">
        <f t="shared" si="9"/>
        <v>0.16602049851090661</v>
      </c>
      <c r="G33" s="16">
        <f t="shared" si="9"/>
        <v>0.18230803287008543</v>
      </c>
      <c r="H33" s="16">
        <f t="shared" si="9"/>
        <v>0.19451090975057522</v>
      </c>
      <c r="I33" s="16">
        <f t="shared" si="9"/>
        <v>0.19214213546333186</v>
      </c>
      <c r="J33" s="16">
        <f t="shared" si="9"/>
        <v>0.18995980941666044</v>
      </c>
    </row>
    <row r="34" spans="2:10" outlineLevel="1"/>
    <row r="35" spans="2:10" outlineLevel="1">
      <c r="B35" s="1" t="s">
        <v>29</v>
      </c>
      <c r="D35" s="20">
        <f>IFERROR('Data Sheet'!E29,0)</f>
        <v>36.42</v>
      </c>
      <c r="E35" s="20">
        <f>IFERROR('Data Sheet'!F29,0)</f>
        <v>63.62</v>
      </c>
      <c r="F35" s="20">
        <f>IFERROR('Data Sheet'!G29,0)</f>
        <v>60.7</v>
      </c>
      <c r="G35" s="20">
        <f>IFERROR('Data Sheet'!H29,0)</f>
        <v>72.33</v>
      </c>
      <c r="H35" s="20">
        <f>IFERROR('Data Sheet'!I29,0)</f>
        <v>108.63</v>
      </c>
      <c r="I35" s="20">
        <f>IFERROR('Data Sheet'!J29,0)</f>
        <v>121.35</v>
      </c>
      <c r="J35" s="20">
        <f>IFERROR('Data Sheet'!K29,0)</f>
        <v>140.49</v>
      </c>
    </row>
    <row r="36" spans="2:10" ht="14.4" outlineLevel="1">
      <c r="B36" s="14" t="s">
        <v>73</v>
      </c>
      <c r="C36" s="13"/>
      <c r="D36" s="16">
        <f>D35/D32</f>
        <v>0.23172361137621686</v>
      </c>
      <c r="E36" s="16">
        <f t="shared" ref="E36:J36" si="10">E35/E32</f>
        <v>0.21054373365986032</v>
      </c>
      <c r="F36" s="16">
        <f t="shared" si="10"/>
        <v>0.24524261645994103</v>
      </c>
      <c r="G36" s="16">
        <f t="shared" si="10"/>
        <v>0.21420955991233784</v>
      </c>
      <c r="H36" s="16">
        <f t="shared" si="10"/>
        <v>0.25648714376785586</v>
      </c>
      <c r="I36" s="16">
        <f t="shared" si="10"/>
        <v>0.24079292007302167</v>
      </c>
      <c r="J36" s="16">
        <f t="shared" si="10"/>
        <v>0.25062437562437567</v>
      </c>
    </row>
    <row r="37" spans="2:10" outlineLevel="1"/>
    <row r="38" spans="2:10" outlineLevel="1">
      <c r="B38" s="51" t="s">
        <v>28</v>
      </c>
      <c r="C38" s="51"/>
      <c r="D38" s="52">
        <f>'Data Sheet'!E30</f>
        <v>120.75</v>
      </c>
      <c r="E38" s="52">
        <f>'Data Sheet'!F30</f>
        <v>235.94</v>
      </c>
      <c r="F38" s="52">
        <f>'Data Sheet'!G30</f>
        <v>184.57</v>
      </c>
      <c r="G38" s="52">
        <f>'Data Sheet'!H30</f>
        <v>266.31</v>
      </c>
      <c r="H38" s="52">
        <f>'Data Sheet'!I30</f>
        <v>313.7</v>
      </c>
      <c r="I38" s="52">
        <f>'Data Sheet'!J30</f>
        <v>380.58</v>
      </c>
      <c r="J38" s="52">
        <f>'Data Sheet'!K30</f>
        <v>417.9</v>
      </c>
    </row>
    <row r="39" spans="2:10" ht="14.4" outlineLevel="1">
      <c r="B39" s="14" t="s">
        <v>74</v>
      </c>
      <c r="C39" s="13"/>
      <c r="D39" s="16">
        <f>D38/D11</f>
        <v>0.10646176633956675</v>
      </c>
      <c r="E39" s="16">
        <f t="shared" ref="E39:J39" si="11">E38/E11</f>
        <v>0.17144559577962185</v>
      </c>
      <c r="F39" s="16">
        <f t="shared" si="11"/>
        <v>0.12380268841726812</v>
      </c>
      <c r="G39" s="16">
        <f t="shared" si="11"/>
        <v>0.14378502704979104</v>
      </c>
      <c r="H39" s="16">
        <f t="shared" si="11"/>
        <v>0.14407024859810511</v>
      </c>
      <c r="I39" s="16">
        <f t="shared" si="11"/>
        <v>0.14510170234668396</v>
      </c>
      <c r="J39" s="16">
        <f t="shared" si="11"/>
        <v>0.14161589188529755</v>
      </c>
    </row>
    <row r="40" spans="2:10" outlineLevel="1"/>
    <row r="41" spans="2:10" outlineLevel="1">
      <c r="B41" s="1" t="s">
        <v>13</v>
      </c>
      <c r="D41" s="1">
        <f>IFERROR('Data Sheet'!E93,0)</f>
        <v>40.93</v>
      </c>
      <c r="E41" s="1">
        <f>IFERROR('Data Sheet'!F93,0)</f>
        <v>40.93</v>
      </c>
      <c r="F41" s="1">
        <f>IFERROR('Data Sheet'!G93,0)</f>
        <v>40.93</v>
      </c>
      <c r="G41" s="1">
        <f>IFERROR('Data Sheet'!H93,0)</f>
        <v>45.32</v>
      </c>
      <c r="H41" s="1">
        <f>IFERROR('Data Sheet'!I93,0)</f>
        <v>45.32</v>
      </c>
      <c r="I41" s="1">
        <f>IFERROR('Data Sheet'!J93,0)</f>
        <v>45.32</v>
      </c>
      <c r="J41" s="1">
        <f>IFERROR('Data Sheet'!K93,0)</f>
        <v>45.32</v>
      </c>
    </row>
    <row r="42" spans="2:10" outlineLevel="1"/>
    <row r="43" spans="2:10" outlineLevel="1">
      <c r="B43" s="1" t="s">
        <v>56</v>
      </c>
      <c r="D43" s="20">
        <f>IFERROR(D38/D41,0)</f>
        <v>2.9501588077204985</v>
      </c>
      <c r="E43" s="20">
        <f t="shared" ref="E43:J43" si="12">IFERROR(E38/E41,0)</f>
        <v>5.7644759345223555</v>
      </c>
      <c r="F43" s="20">
        <f t="shared" si="12"/>
        <v>4.5094063034449059</v>
      </c>
      <c r="G43" s="20">
        <f t="shared" si="12"/>
        <v>5.8762135922330101</v>
      </c>
      <c r="H43" s="20">
        <f t="shared" si="12"/>
        <v>6.9218887908208293</v>
      </c>
      <c r="I43" s="20">
        <f t="shared" si="12"/>
        <v>8.3976169461606354</v>
      </c>
      <c r="J43" s="20">
        <f t="shared" si="12"/>
        <v>9.2210944395410408</v>
      </c>
    </row>
    <row r="44" spans="2:10" ht="14.4" outlineLevel="1">
      <c r="B44" s="14" t="s">
        <v>76</v>
      </c>
      <c r="C44" s="13"/>
      <c r="D44" s="16"/>
      <c r="E44" s="16">
        <f>IFERROR((E43-D43)/D43,0)</f>
        <v>0.95395445134575574</v>
      </c>
      <c r="F44" s="16">
        <f t="shared" ref="F44:J44" si="13">IFERROR((F43-E43)/E43,0)</f>
        <v>-0.2177248452996525</v>
      </c>
      <c r="G44" s="16">
        <f t="shared" si="13"/>
        <v>0.30310138337810644</v>
      </c>
      <c r="H44" s="16">
        <f t="shared" si="13"/>
        <v>0.17795050880552726</v>
      </c>
      <c r="I44" s="16">
        <f t="shared" si="13"/>
        <v>0.21319732228243549</v>
      </c>
      <c r="J44" s="16">
        <f t="shared" si="13"/>
        <v>9.806085448525928E-2</v>
      </c>
    </row>
    <row r="45" spans="2:10" outlineLevel="1"/>
    <row r="46" spans="2:10" outlineLevel="1">
      <c r="B46" s="1" t="s">
        <v>75</v>
      </c>
      <c r="D46" s="20">
        <f>IFERROR('Data Sheet'!E31/'Data Sheet'!E93,0)</f>
        <v>9.9926704129000732E-2</v>
      </c>
      <c r="E46" s="20">
        <f>IFERROR('Data Sheet'!F31/'Data Sheet'!F93,0)</f>
        <v>0.24993892010750063</v>
      </c>
      <c r="F46" s="20">
        <f>IFERROR('Data Sheet'!G31/'Data Sheet'!G93,0)</f>
        <v>0.24993892010750063</v>
      </c>
      <c r="G46" s="20">
        <f>IFERROR('Data Sheet'!H31/'Data Sheet'!H93,0)</f>
        <v>0.5</v>
      </c>
      <c r="H46" s="20">
        <f>IFERROR('Data Sheet'!I31/'Data Sheet'!I93,0)</f>
        <v>0.59995586937334511</v>
      </c>
      <c r="I46" s="20">
        <f>IFERROR('Data Sheet'!J31/'Data Sheet'!J93,0)</f>
        <v>0.80008826125330978</v>
      </c>
      <c r="J46" s="20">
        <f>IFERROR('Data Sheet'!K31/'Data Sheet'!K93,0)</f>
        <v>0.90004413062665489</v>
      </c>
    </row>
    <row r="47" spans="2:10" ht="14.4" outlineLevel="1">
      <c r="B47" s="14" t="s">
        <v>77</v>
      </c>
      <c r="C47" s="13"/>
      <c r="D47" s="16">
        <f>IFERROR(D46/D43,0)</f>
        <v>3.3871635610766046E-2</v>
      </c>
      <c r="E47" s="16">
        <f t="shared" ref="E47:J47" si="14">IFERROR(E46/E43,0)</f>
        <v>4.3358480969738072E-2</v>
      </c>
      <c r="F47" s="16">
        <f t="shared" si="14"/>
        <v>5.5426125589207349E-2</v>
      </c>
      <c r="G47" s="16">
        <f t="shared" si="14"/>
        <v>8.508880627839735E-2</v>
      </c>
      <c r="H47" s="16">
        <f t="shared" si="14"/>
        <v>8.6675167357347788E-2</v>
      </c>
      <c r="I47" s="16">
        <f t="shared" si="14"/>
        <v>9.5275631930211782E-2</v>
      </c>
      <c r="J47" s="16">
        <f t="shared" si="14"/>
        <v>9.7607083034218722E-2</v>
      </c>
    </row>
    <row r="48" spans="2:10" outlineLevel="1"/>
    <row r="49" spans="1:10" outlineLevel="1">
      <c r="B49" s="1" t="s">
        <v>78</v>
      </c>
      <c r="D49" s="12">
        <f>IFERROR(IF(D43&gt;D46,1-D47,0),0)</f>
        <v>0.966128364389234</v>
      </c>
      <c r="E49" s="12">
        <f t="shared" ref="E49:J49" si="15">IFERROR(IF(E43&gt;E46,1-E47,0),0)</f>
        <v>0.95664151903026196</v>
      </c>
      <c r="F49" s="12">
        <f t="shared" si="15"/>
        <v>0.94457387441079266</v>
      </c>
      <c r="G49" s="12">
        <f t="shared" si="15"/>
        <v>0.91491119372160268</v>
      </c>
      <c r="H49" s="12">
        <f t="shared" si="15"/>
        <v>0.91332483264265218</v>
      </c>
      <c r="I49" s="12">
        <f t="shared" si="15"/>
        <v>0.90472436806978818</v>
      </c>
      <c r="J49" s="12">
        <f t="shared" si="15"/>
        <v>0.90239291696578128</v>
      </c>
    </row>
    <row r="51" spans="1:10">
      <c r="A51" s="1" t="s">
        <v>58</v>
      </c>
      <c r="B51" s="317" t="s">
        <v>79</v>
      </c>
      <c r="C51" s="321"/>
      <c r="D51" s="321"/>
      <c r="E51" s="321"/>
      <c r="F51" s="321"/>
      <c r="G51" s="321"/>
      <c r="H51" s="321"/>
      <c r="I51" s="321"/>
      <c r="J51" s="321"/>
    </row>
    <row r="53" spans="1:10" outlineLevel="1">
      <c r="B53" s="1" t="s">
        <v>25</v>
      </c>
      <c r="D53" s="11">
        <f>IFERROR('Data Sheet'!E57,0)</f>
        <v>40.93</v>
      </c>
      <c r="E53" s="11">
        <f>IFERROR('Data Sheet'!F57,0)</f>
        <v>40.93</v>
      </c>
      <c r="F53" s="11">
        <f>IFERROR('Data Sheet'!G57,0)</f>
        <v>40.93</v>
      </c>
      <c r="G53" s="11">
        <f>IFERROR('Data Sheet'!H57,0)</f>
        <v>45.32</v>
      </c>
      <c r="H53" s="11">
        <f>IFERROR('Data Sheet'!I57,0)</f>
        <v>45.32</v>
      </c>
      <c r="I53" s="11">
        <f>IFERROR('Data Sheet'!J57,0)</f>
        <v>45.32</v>
      </c>
      <c r="J53" s="11">
        <f>IFERROR('Data Sheet'!K57,0)</f>
        <v>45.32</v>
      </c>
    </row>
    <row r="54" spans="1:10" outlineLevel="1">
      <c r="B54" s="1" t="s">
        <v>24</v>
      </c>
      <c r="D54" s="11">
        <f>IFERROR('Data Sheet'!E58,0)</f>
        <v>595.08000000000004</v>
      </c>
      <c r="E54" s="11">
        <f>IFERROR('Data Sheet'!F58,0)</f>
        <v>845.56</v>
      </c>
      <c r="F54" s="11">
        <f>IFERROR('Data Sheet'!G58,0)</f>
        <v>1161.3399999999999</v>
      </c>
      <c r="G54" s="11">
        <f>IFERROR('Data Sheet'!H58,0)</f>
        <v>1699.85</v>
      </c>
      <c r="H54" s="11">
        <f>IFERROR('Data Sheet'!I58,0)</f>
        <v>2019.74</v>
      </c>
      <c r="I54" s="11">
        <f>IFERROR('Data Sheet'!J58,0)</f>
        <v>2421.6</v>
      </c>
      <c r="J54" s="11">
        <f>IFERROR('Data Sheet'!K58,0)</f>
        <v>2977.84</v>
      </c>
    </row>
    <row r="55" spans="1:10" outlineLevel="1">
      <c r="B55" s="1" t="s">
        <v>23</v>
      </c>
      <c r="D55" s="11">
        <f>IFERROR('Data Sheet'!E59,0)</f>
        <v>29.65</v>
      </c>
      <c r="E55" s="11">
        <f>IFERROR('Data Sheet'!F59,0)</f>
        <v>34.1</v>
      </c>
      <c r="F55" s="11">
        <f>IFERROR('Data Sheet'!G59,0)</f>
        <v>110.78</v>
      </c>
      <c r="G55" s="11">
        <f>IFERROR('Data Sheet'!H59,0)</f>
        <v>122.95</v>
      </c>
      <c r="H55" s="11">
        <f>IFERROR('Data Sheet'!I59,0)</f>
        <v>244.06</v>
      </c>
      <c r="I55" s="11">
        <f>IFERROR('Data Sheet'!J59,0)</f>
        <v>321.91000000000003</v>
      </c>
      <c r="J55" s="11">
        <f>IFERROR('Data Sheet'!K59,0)</f>
        <v>343.38</v>
      </c>
    </row>
    <row r="56" spans="1:10" outlineLevel="1">
      <c r="B56" s="1" t="s">
        <v>22</v>
      </c>
      <c r="D56" s="11">
        <f>IFERROR('Data Sheet'!E60,0)</f>
        <v>236.37</v>
      </c>
      <c r="E56" s="11">
        <f>IFERROR('Data Sheet'!F60,0)</f>
        <v>307.43</v>
      </c>
      <c r="F56" s="11">
        <f>IFERROR('Data Sheet'!G60,0)</f>
        <v>323.2</v>
      </c>
      <c r="G56" s="11">
        <f>IFERROR('Data Sheet'!H60,0)</f>
        <v>322.27</v>
      </c>
      <c r="H56" s="11">
        <f>IFERROR('Data Sheet'!I60,0)</f>
        <v>371.84</v>
      </c>
      <c r="I56" s="11">
        <f>IFERROR('Data Sheet'!J60,0)</f>
        <v>450.81</v>
      </c>
      <c r="J56" s="11">
        <f>IFERROR('Data Sheet'!K60,0)</f>
        <v>489.27</v>
      </c>
    </row>
    <row r="57" spans="1:10" s="9" customFormat="1" outlineLevel="1">
      <c r="B57" s="22" t="s">
        <v>80</v>
      </c>
      <c r="C57" s="22"/>
      <c r="D57" s="23">
        <f>IFERROR('Data Sheet'!E61,0)</f>
        <v>902.03</v>
      </c>
      <c r="E57" s="23">
        <f>IFERROR('Data Sheet'!F61,0)</f>
        <v>1228.02</v>
      </c>
      <c r="F57" s="23">
        <f>IFERROR('Data Sheet'!G61,0)</f>
        <v>1636.25</v>
      </c>
      <c r="G57" s="23">
        <f>IFERROR('Data Sheet'!H61,0)</f>
        <v>2190.39</v>
      </c>
      <c r="H57" s="23">
        <f>IFERROR('Data Sheet'!I61,0)</f>
        <v>2680.96</v>
      </c>
      <c r="I57" s="23">
        <f>IFERROR('Data Sheet'!J61,0)</f>
        <v>3239.64</v>
      </c>
      <c r="J57" s="23">
        <f>IFERROR('Data Sheet'!K61,0)</f>
        <v>3855.81</v>
      </c>
    </row>
    <row r="58" spans="1:10" outlineLevel="1">
      <c r="B58" s="9"/>
    </row>
    <row r="59" spans="1:10" outlineLevel="1">
      <c r="B59" s="1" t="s">
        <v>82</v>
      </c>
      <c r="D59" s="11">
        <f>IFERROR('Data Sheet'!E62,0)</f>
        <v>302.72000000000003</v>
      </c>
      <c r="E59" s="11">
        <f>IFERROR('Data Sheet'!F62,0)</f>
        <v>309.36</v>
      </c>
      <c r="F59" s="11">
        <f>IFERROR('Data Sheet'!G62,0)</f>
        <v>428.31</v>
      </c>
      <c r="G59" s="11">
        <f>IFERROR('Data Sheet'!H62,0)</f>
        <v>486.31</v>
      </c>
      <c r="H59" s="11">
        <f>IFERROR('Data Sheet'!I62,0)</f>
        <v>775.94</v>
      </c>
      <c r="I59" s="11">
        <f>IFERROR('Data Sheet'!J62,0)</f>
        <v>981.96</v>
      </c>
      <c r="J59" s="11">
        <f>IFERROR('Data Sheet'!K62,0)</f>
        <v>1044.1099999999999</v>
      </c>
    </row>
    <row r="60" spans="1:10" outlineLevel="1">
      <c r="B60" s="1" t="s">
        <v>20</v>
      </c>
      <c r="D60" s="11">
        <f>IFERROR('Data Sheet'!E63,0)</f>
        <v>0</v>
      </c>
      <c r="E60" s="11">
        <f>IFERROR('Data Sheet'!F63,0)</f>
        <v>11.68</v>
      </c>
      <c r="F60" s="11">
        <f>IFERROR('Data Sheet'!G63,0)</f>
        <v>2.57</v>
      </c>
      <c r="G60" s="11">
        <f>IFERROR('Data Sheet'!H63,0)</f>
        <v>9.8699999999999992</v>
      </c>
      <c r="H60" s="11">
        <f>IFERROR('Data Sheet'!I63,0)</f>
        <v>9.42</v>
      </c>
      <c r="I60" s="11">
        <f>IFERROR('Data Sheet'!J63,0)</f>
        <v>27.11</v>
      </c>
      <c r="J60" s="11">
        <f>IFERROR('Data Sheet'!K63,0)</f>
        <v>58.58</v>
      </c>
    </row>
    <row r="61" spans="1:10" outlineLevel="1">
      <c r="B61" s="1" t="s">
        <v>19</v>
      </c>
      <c r="D61" s="11">
        <f>IFERROR('Data Sheet'!E64,0)</f>
        <v>0</v>
      </c>
      <c r="E61" s="11">
        <f>IFERROR('Data Sheet'!F64,0)</f>
        <v>0.26</v>
      </c>
      <c r="F61" s="11">
        <f>IFERROR('Data Sheet'!G64,0)</f>
        <v>0.44</v>
      </c>
      <c r="G61" s="11">
        <f>IFERROR('Data Sheet'!H64,0)</f>
        <v>0.54</v>
      </c>
      <c r="H61" s="11">
        <f>IFERROR('Data Sheet'!I64,0)</f>
        <v>26.99</v>
      </c>
      <c r="I61" s="11">
        <f>IFERROR('Data Sheet'!J64,0)</f>
        <v>0.74</v>
      </c>
      <c r="J61" s="11">
        <f>IFERROR('Data Sheet'!K64,0)</f>
        <v>0</v>
      </c>
    </row>
    <row r="62" spans="1:10" outlineLevel="1">
      <c r="B62" s="1" t="s">
        <v>18</v>
      </c>
      <c r="D62" s="11">
        <f>IFERROR('Data Sheet'!E65-SUM('Data Sheet'!E67:E69),0)</f>
        <v>20.389999999999986</v>
      </c>
      <c r="E62" s="11">
        <f>IFERROR('Data Sheet'!F65-SUM('Data Sheet'!F67:F69),0)</f>
        <v>18.269999999999982</v>
      </c>
      <c r="F62" s="11">
        <f>IFERROR('Data Sheet'!G65-SUM('Data Sheet'!G67:G69),0)</f>
        <v>36.440000000000055</v>
      </c>
      <c r="G62" s="11">
        <f>IFERROR('Data Sheet'!H65-SUM('Data Sheet'!H67:H69),0)</f>
        <v>77.119999999999891</v>
      </c>
      <c r="H62" s="11">
        <f>IFERROR('Data Sheet'!I65-SUM('Data Sheet'!I67:I69),0)</f>
        <v>123.90999999999963</v>
      </c>
      <c r="I62" s="11">
        <f>IFERROR('Data Sheet'!J65-SUM('Data Sheet'!J67:J69),0)</f>
        <v>140.05999999999995</v>
      </c>
      <c r="J62" s="11">
        <f>IFERROR('Data Sheet'!K65-SUM('Data Sheet'!K67:K69),0)</f>
        <v>146.61999999999989</v>
      </c>
    </row>
    <row r="63" spans="1:10" s="9" customFormat="1" outlineLevel="1">
      <c r="B63" s="22" t="s">
        <v>83</v>
      </c>
      <c r="C63" s="22"/>
      <c r="D63" s="23">
        <f>SUM(D59:D62)</f>
        <v>323.11</v>
      </c>
      <c r="E63" s="23">
        <f t="shared" ref="E63:J63" si="16">SUM(E59:E62)</f>
        <v>339.57</v>
      </c>
      <c r="F63" s="23">
        <f t="shared" si="16"/>
        <v>467.76000000000005</v>
      </c>
      <c r="G63" s="23">
        <f t="shared" si="16"/>
        <v>573.83999999999992</v>
      </c>
      <c r="H63" s="23">
        <f t="shared" si="16"/>
        <v>936.25999999999965</v>
      </c>
      <c r="I63" s="23">
        <f t="shared" si="16"/>
        <v>1149.8699999999999</v>
      </c>
      <c r="J63" s="23">
        <f t="shared" si="16"/>
        <v>1249.3099999999997</v>
      </c>
    </row>
    <row r="64" spans="1:10" outlineLevel="1"/>
    <row r="65" spans="1:10" outlineLevel="1">
      <c r="B65" s="1" t="s">
        <v>16</v>
      </c>
      <c r="D65" s="11">
        <f>IFERROR('Data Sheet'!E67,0)</f>
        <v>243.35</v>
      </c>
      <c r="E65" s="11">
        <f>IFERROR('Data Sheet'!F67,0)</f>
        <v>271.95</v>
      </c>
      <c r="F65" s="11">
        <f>IFERROR('Data Sheet'!G67,0)</f>
        <v>394.78</v>
      </c>
      <c r="G65" s="11">
        <f>IFERROR('Data Sheet'!H67,0)</f>
        <v>416.85</v>
      </c>
      <c r="H65" s="11">
        <f>IFERROR('Data Sheet'!I67,0)</f>
        <v>453.18</v>
      </c>
      <c r="I65" s="11">
        <f>IFERROR('Data Sheet'!J67,0)</f>
        <v>540.04</v>
      </c>
      <c r="J65" s="11">
        <f>IFERROR('Data Sheet'!K67,0)</f>
        <v>644.57000000000005</v>
      </c>
    </row>
    <row r="66" spans="1:10" outlineLevel="1">
      <c r="B66" s="1" t="s">
        <v>15</v>
      </c>
      <c r="D66" s="11">
        <f>IFERROR('Data Sheet'!E68,0)</f>
        <v>241.84</v>
      </c>
      <c r="E66" s="11">
        <f>IFERROR('Data Sheet'!F68,0)</f>
        <v>404.32</v>
      </c>
      <c r="F66" s="11">
        <f>IFERROR('Data Sheet'!G68,0)</f>
        <v>424.44</v>
      </c>
      <c r="G66" s="11">
        <f>IFERROR('Data Sheet'!H68,0)</f>
        <v>484.74</v>
      </c>
      <c r="H66" s="11">
        <f>IFERROR('Data Sheet'!I68,0)</f>
        <v>617.94000000000005</v>
      </c>
      <c r="I66" s="11">
        <f>IFERROR('Data Sheet'!J68,0)</f>
        <v>845.52</v>
      </c>
      <c r="J66" s="11">
        <f>IFERROR('Data Sheet'!K68,0)</f>
        <v>972.28</v>
      </c>
    </row>
    <row r="67" spans="1:10" outlineLevel="1">
      <c r="B67" s="1" t="s">
        <v>14</v>
      </c>
      <c r="D67" s="11">
        <f>IFERROR('Data Sheet'!E69,0)</f>
        <v>93.73</v>
      </c>
      <c r="E67" s="11">
        <f>IFERROR('Data Sheet'!F69,0)</f>
        <v>212.18</v>
      </c>
      <c r="F67" s="11">
        <f>IFERROR('Data Sheet'!G69,0)</f>
        <v>349.27</v>
      </c>
      <c r="G67" s="11">
        <f>IFERROR('Data Sheet'!H69,0)</f>
        <v>714.96</v>
      </c>
      <c r="H67" s="11">
        <f>IFERROR('Data Sheet'!I69,0)</f>
        <v>673.58</v>
      </c>
      <c r="I67" s="11">
        <f>IFERROR('Data Sheet'!J69,0)</f>
        <v>704.21</v>
      </c>
      <c r="J67" s="11">
        <f>IFERROR('Data Sheet'!K69,0)</f>
        <v>989.65</v>
      </c>
    </row>
    <row r="68" spans="1:10" s="21" customFormat="1" outlineLevel="1">
      <c r="B68" s="23" t="s">
        <v>84</v>
      </c>
      <c r="C68" s="23"/>
      <c r="D68" s="23">
        <f>SUM(D65:D67)</f>
        <v>578.91999999999996</v>
      </c>
      <c r="E68" s="23">
        <f t="shared" ref="E68:J68" si="17">SUM(E65:E67)</f>
        <v>888.45</v>
      </c>
      <c r="F68" s="23">
        <f t="shared" si="17"/>
        <v>1168.49</v>
      </c>
      <c r="G68" s="23">
        <f t="shared" si="17"/>
        <v>1616.5500000000002</v>
      </c>
      <c r="H68" s="23">
        <f t="shared" si="17"/>
        <v>1744.7000000000003</v>
      </c>
      <c r="I68" s="23">
        <f t="shared" si="17"/>
        <v>2089.77</v>
      </c>
      <c r="J68" s="23">
        <f t="shared" si="17"/>
        <v>2606.5</v>
      </c>
    </row>
    <row r="69" spans="1:10" outlineLevel="1"/>
    <row r="70" spans="1:10" s="21" customFormat="1" outlineLevel="1">
      <c r="B70" s="23" t="s">
        <v>81</v>
      </c>
      <c r="C70" s="23"/>
      <c r="D70" s="23">
        <f>SUM(D68,D63)</f>
        <v>902.03</v>
      </c>
      <c r="E70" s="23">
        <f t="shared" ref="E70:J70" si="18">SUM(E68,E63)</f>
        <v>1228.02</v>
      </c>
      <c r="F70" s="23">
        <f t="shared" si="18"/>
        <v>1636.25</v>
      </c>
      <c r="G70" s="23">
        <f t="shared" si="18"/>
        <v>2190.3900000000003</v>
      </c>
      <c r="H70" s="23">
        <f t="shared" si="18"/>
        <v>2680.96</v>
      </c>
      <c r="I70" s="23">
        <f t="shared" si="18"/>
        <v>3239.64</v>
      </c>
      <c r="J70" s="23">
        <f t="shared" si="18"/>
        <v>3855.8099999999995</v>
      </c>
    </row>
    <row r="71" spans="1:10" outlineLevel="1"/>
    <row r="72" spans="1:10" outlineLevel="1">
      <c r="B72" s="1" t="s">
        <v>85</v>
      </c>
      <c r="D72" s="1" t="b">
        <f>D70=D57</f>
        <v>1</v>
      </c>
      <c r="E72" s="1" t="b">
        <f t="shared" ref="E72:J72" si="19">E70=E57</f>
        <v>1</v>
      </c>
      <c r="F72" s="1" t="b">
        <f t="shared" si="19"/>
        <v>1</v>
      </c>
      <c r="G72" s="1" t="b">
        <f t="shared" si="19"/>
        <v>1</v>
      </c>
      <c r="H72" s="1" t="b">
        <f t="shared" si="19"/>
        <v>1</v>
      </c>
      <c r="I72" s="1" t="b">
        <f t="shared" si="19"/>
        <v>1</v>
      </c>
      <c r="J72" s="1" t="b">
        <f t="shared" si="19"/>
        <v>1</v>
      </c>
    </row>
    <row r="74" spans="1:10">
      <c r="A74" s="1" t="s">
        <v>58</v>
      </c>
      <c r="B74" s="317" t="s">
        <v>112</v>
      </c>
      <c r="C74" s="321"/>
      <c r="D74" s="321"/>
      <c r="E74" s="321"/>
      <c r="F74" s="321"/>
      <c r="G74" s="321"/>
      <c r="H74" s="321"/>
      <c r="I74" s="321"/>
      <c r="J74" s="321"/>
    </row>
    <row r="75" spans="1:10" s="17" customFormat="1">
      <c r="B75" s="18"/>
      <c r="C75" s="322"/>
      <c r="D75" s="322"/>
      <c r="E75" s="322"/>
      <c r="F75" s="322"/>
      <c r="G75" s="322"/>
      <c r="H75" s="322"/>
      <c r="I75" s="322"/>
      <c r="J75" s="322"/>
    </row>
    <row r="76" spans="1:10" outlineLevel="1">
      <c r="B76" s="9" t="s">
        <v>113</v>
      </c>
    </row>
    <row r="77" spans="1:10" outlineLevel="2">
      <c r="B77" s="1" t="s">
        <v>86</v>
      </c>
      <c r="D77" s="48">
        <f>IFERROR('Cash Flow'!H6,0)</f>
        <v>199</v>
      </c>
      <c r="E77" s="48">
        <f>IFERROR('Cash Flow'!I6,0)</f>
        <v>359</v>
      </c>
      <c r="F77" s="48">
        <f>IFERROR('Cash Flow'!J6,0)</f>
        <v>283</v>
      </c>
      <c r="G77" s="48">
        <f>IFERROR('Cash Flow'!K6,0)</f>
        <v>412</v>
      </c>
      <c r="H77" s="48">
        <f>IFERROR('Cash Flow'!L6,0)</f>
        <v>479</v>
      </c>
      <c r="I77" s="48">
        <f>IFERROR('Cash Flow'!M6,0)</f>
        <v>573</v>
      </c>
      <c r="J77" s="48">
        <f>IFERROR('Cash Flow'!N6,0)</f>
        <v>660</v>
      </c>
    </row>
    <row r="78" spans="1:10" outlineLevel="2">
      <c r="B78" s="1" t="s">
        <v>16</v>
      </c>
      <c r="D78" s="48">
        <f>IFERROR('Cash Flow'!H7,0)</f>
        <v>-67</v>
      </c>
      <c r="E78" s="48">
        <f>IFERROR('Cash Flow'!I7,0)</f>
        <v>-37</v>
      </c>
      <c r="F78" s="48">
        <f>IFERROR('Cash Flow'!J7,0)</f>
        <v>-104</v>
      </c>
      <c r="G78" s="48">
        <f>IFERROR('Cash Flow'!K7,0)</f>
        <v>-28</v>
      </c>
      <c r="H78" s="48">
        <f>IFERROR('Cash Flow'!L7,0)</f>
        <v>-37</v>
      </c>
      <c r="I78" s="48">
        <f>IFERROR('Cash Flow'!M7,0)</f>
        <v>-78</v>
      </c>
      <c r="J78" s="48">
        <f>IFERROR('Cash Flow'!N7,0)</f>
        <v>-31</v>
      </c>
    </row>
    <row r="79" spans="1:10" outlineLevel="2">
      <c r="B79" s="1" t="s">
        <v>15</v>
      </c>
      <c r="D79" s="48">
        <f>IFERROR('Cash Flow'!H8,0)</f>
        <v>51</v>
      </c>
      <c r="E79" s="48">
        <f>IFERROR('Cash Flow'!I8,0)</f>
        <v>-139</v>
      </c>
      <c r="F79" s="48">
        <f>IFERROR('Cash Flow'!J8,0)</f>
        <v>-18</v>
      </c>
      <c r="G79" s="48">
        <f>IFERROR('Cash Flow'!K8,0)</f>
        <v>-45</v>
      </c>
      <c r="H79" s="48">
        <f>IFERROR('Cash Flow'!L8,0)</f>
        <v>-113</v>
      </c>
      <c r="I79" s="48">
        <f>IFERROR('Cash Flow'!M8,0)</f>
        <v>-195</v>
      </c>
      <c r="J79" s="48">
        <f>IFERROR('Cash Flow'!N8,0)</f>
        <v>-39</v>
      </c>
    </row>
    <row r="80" spans="1:10" outlineLevel="2">
      <c r="B80" s="1" t="s">
        <v>87</v>
      </c>
      <c r="D80" s="48">
        <f>IFERROR('Cash Flow'!H9,0)</f>
        <v>67</v>
      </c>
      <c r="E80" s="48">
        <f>IFERROR('Cash Flow'!I9,0)</f>
        <v>42</v>
      </c>
      <c r="F80" s="48">
        <f>IFERROR('Cash Flow'!J9,0)</f>
        <v>28</v>
      </c>
      <c r="G80" s="48">
        <f>IFERROR('Cash Flow'!K9,0)</f>
        <v>22</v>
      </c>
      <c r="H80" s="48">
        <f>IFERROR('Cash Flow'!L9,0)</f>
        <v>0</v>
      </c>
      <c r="I80" s="48">
        <f>IFERROR('Cash Flow'!M9,0)</f>
        <v>0</v>
      </c>
      <c r="J80" s="48">
        <f>IFERROR('Cash Flow'!N9,0)</f>
        <v>0</v>
      </c>
    </row>
    <row r="81" spans="2:10" outlineLevel="2">
      <c r="B81" s="1" t="s">
        <v>88</v>
      </c>
      <c r="D81" s="48">
        <f>IFERROR('Cash Flow'!H10,0)</f>
        <v>0</v>
      </c>
      <c r="E81" s="48">
        <f>IFERROR('Cash Flow'!I10,0)</f>
        <v>0</v>
      </c>
      <c r="F81" s="48">
        <f>IFERROR('Cash Flow'!J10,0)</f>
        <v>0</v>
      </c>
      <c r="G81" s="48">
        <f>IFERROR('Cash Flow'!K10,0)</f>
        <v>0</v>
      </c>
      <c r="H81" s="48">
        <f>IFERROR('Cash Flow'!L10,0)</f>
        <v>0</v>
      </c>
      <c r="I81" s="48">
        <f>IFERROR('Cash Flow'!M10,0)</f>
        <v>0</v>
      </c>
      <c r="J81" s="48">
        <f>IFERROR('Cash Flow'!N10,0)</f>
        <v>0</v>
      </c>
    </row>
    <row r="82" spans="2:10" outlineLevel="2">
      <c r="B82" s="1" t="s">
        <v>89</v>
      </c>
      <c r="D82" s="48">
        <f>IFERROR('Cash Flow'!H11,0)</f>
        <v>8</v>
      </c>
      <c r="E82" s="48">
        <f>IFERROR('Cash Flow'!I11,0)</f>
        <v>3</v>
      </c>
      <c r="F82" s="48">
        <f>IFERROR('Cash Flow'!J11,0)</f>
        <v>-17</v>
      </c>
      <c r="G82" s="48">
        <f>IFERROR('Cash Flow'!K11,0)</f>
        <v>-62</v>
      </c>
      <c r="H82" s="48">
        <f>IFERROR('Cash Flow'!L11,0)</f>
        <v>24</v>
      </c>
      <c r="I82" s="48">
        <f>IFERROR('Cash Flow'!M11,0)</f>
        <v>32</v>
      </c>
      <c r="J82" s="48">
        <f>IFERROR('Cash Flow'!N11,0)</f>
        <v>8</v>
      </c>
    </row>
    <row r="83" spans="2:10" outlineLevel="2">
      <c r="B83" s="1" t="s">
        <v>90</v>
      </c>
      <c r="D83" s="48">
        <f>IFERROR('Cash Flow'!H12,0)</f>
        <v>59</v>
      </c>
      <c r="E83" s="48">
        <f>IFERROR('Cash Flow'!I12,0)</f>
        <v>-132</v>
      </c>
      <c r="F83" s="48">
        <f>IFERROR('Cash Flow'!J12,0)</f>
        <v>-111</v>
      </c>
      <c r="G83" s="48">
        <f>IFERROR('Cash Flow'!K12,0)</f>
        <v>-111</v>
      </c>
      <c r="H83" s="48">
        <f>IFERROR('Cash Flow'!L12,0)</f>
        <v>-126</v>
      </c>
      <c r="I83" s="48">
        <f>IFERROR('Cash Flow'!M12,0)</f>
        <v>-241</v>
      </c>
      <c r="J83" s="48">
        <f>IFERROR('Cash Flow'!N12,0)</f>
        <v>-62</v>
      </c>
    </row>
    <row r="84" spans="2:10" outlineLevel="2">
      <c r="B84" s="1" t="s">
        <v>91</v>
      </c>
      <c r="D84" s="48">
        <f>IFERROR('Cash Flow'!H13,0)</f>
        <v>-25</v>
      </c>
      <c r="E84" s="48">
        <f>IFERROR('Cash Flow'!I13,0)</f>
        <v>-49</v>
      </c>
      <c r="F84" s="48">
        <f>IFERROR('Cash Flow'!J13,0)</f>
        <v>-73</v>
      </c>
      <c r="G84" s="48">
        <f>IFERROR('Cash Flow'!K13,0)</f>
        <v>-63</v>
      </c>
      <c r="H84" s="48">
        <f>IFERROR('Cash Flow'!L13,0)</f>
        <v>-122</v>
      </c>
      <c r="I84" s="48">
        <f>IFERROR('Cash Flow'!M13,0)</f>
        <v>-126</v>
      </c>
      <c r="J84" s="48">
        <f>IFERROR('Cash Flow'!N13,0)</f>
        <v>-140</v>
      </c>
    </row>
    <row r="85" spans="2:10" s="9" customFormat="1" outlineLevel="1">
      <c r="B85" s="22" t="s">
        <v>114</v>
      </c>
      <c r="C85" s="22"/>
      <c r="D85" s="47">
        <f>IFERROR('Cash Flow'!H5,0)</f>
        <v>233</v>
      </c>
      <c r="E85" s="47">
        <f>IFERROR('Cash Flow'!I5,0)</f>
        <v>179</v>
      </c>
      <c r="F85" s="47">
        <f>IFERROR('Cash Flow'!J5,0)</f>
        <v>99</v>
      </c>
      <c r="G85" s="47">
        <f>IFERROR('Cash Flow'!K5,0)</f>
        <v>237</v>
      </c>
      <c r="H85" s="47">
        <f>IFERROR('Cash Flow'!L5,0)</f>
        <v>230</v>
      </c>
      <c r="I85" s="47">
        <f>IFERROR('Cash Flow'!M5,0)</f>
        <v>207</v>
      </c>
      <c r="J85" s="47">
        <f>IFERROR('Cash Flow'!N5,0)</f>
        <v>458</v>
      </c>
    </row>
    <row r="86" spans="2:10" outlineLevel="1"/>
    <row r="87" spans="2:10" outlineLevel="1">
      <c r="B87" s="9" t="s">
        <v>115</v>
      </c>
    </row>
    <row r="88" spans="2:10" outlineLevel="2">
      <c r="B88" s="1" t="s">
        <v>92</v>
      </c>
      <c r="D88" s="48">
        <f>IFERROR('Cash Flow'!H15,0)</f>
        <v>-60</v>
      </c>
      <c r="E88" s="48">
        <f>IFERROR('Cash Flow'!I15,0)</f>
        <v>-46</v>
      </c>
      <c r="F88" s="48">
        <f>IFERROR('Cash Flow'!J15,0)</f>
        <v>-46</v>
      </c>
      <c r="G88" s="48">
        <f>IFERROR('Cash Flow'!K15,0)</f>
        <v>-54</v>
      </c>
      <c r="H88" s="48">
        <f>IFERROR('Cash Flow'!L15,0)</f>
        <v>-209</v>
      </c>
      <c r="I88" s="48">
        <f>IFERROR('Cash Flow'!M15,0)</f>
        <v>-173</v>
      </c>
      <c r="J88" s="48">
        <f>IFERROR('Cash Flow'!N15,0)</f>
        <v>-131</v>
      </c>
    </row>
    <row r="89" spans="2:10" outlineLevel="2">
      <c r="B89" s="1" t="s">
        <v>93</v>
      </c>
      <c r="D89" s="48">
        <f>IFERROR('Cash Flow'!H16,0)</f>
        <v>0</v>
      </c>
      <c r="E89" s="48">
        <f>IFERROR('Cash Flow'!I16,0)</f>
        <v>1</v>
      </c>
      <c r="F89" s="48">
        <f>IFERROR('Cash Flow'!J16,0)</f>
        <v>0</v>
      </c>
      <c r="G89" s="48">
        <f>IFERROR('Cash Flow'!K16,0)</f>
        <v>0</v>
      </c>
      <c r="H89" s="48">
        <f>IFERROR('Cash Flow'!L16,0)</f>
        <v>1</v>
      </c>
      <c r="I89" s="48">
        <f>IFERROR('Cash Flow'!M16,0)</f>
        <v>1</v>
      </c>
      <c r="J89" s="48">
        <f>IFERROR('Cash Flow'!N16,0)</f>
        <v>1</v>
      </c>
    </row>
    <row r="90" spans="2:10" outlineLevel="2">
      <c r="B90" s="1" t="s">
        <v>94</v>
      </c>
      <c r="D90" s="48">
        <f>IFERROR('Cash Flow'!H17,0)</f>
        <v>0</v>
      </c>
      <c r="E90" s="48">
        <f>IFERROR('Cash Flow'!I17,0)</f>
        <v>0</v>
      </c>
      <c r="F90" s="48">
        <f>IFERROR('Cash Flow'!J17,0)</f>
        <v>0</v>
      </c>
      <c r="G90" s="48">
        <f>IFERROR('Cash Flow'!K17,0)</f>
        <v>0</v>
      </c>
      <c r="H90" s="48">
        <f>IFERROR('Cash Flow'!L17,0)</f>
        <v>-37</v>
      </c>
      <c r="I90" s="48">
        <f>IFERROR('Cash Flow'!M17,0)</f>
        <v>0</v>
      </c>
      <c r="J90" s="48">
        <f>IFERROR('Cash Flow'!N17,0)</f>
        <v>-149</v>
      </c>
    </row>
    <row r="91" spans="2:10" outlineLevel="2">
      <c r="B91" s="1" t="s">
        <v>95</v>
      </c>
      <c r="D91" s="48">
        <f>IFERROR('Cash Flow'!H18,0)</f>
        <v>0</v>
      </c>
      <c r="E91" s="48">
        <f>IFERROR('Cash Flow'!I18,0)</f>
        <v>0</v>
      </c>
      <c r="F91" s="48">
        <f>IFERROR('Cash Flow'!J18,0)</f>
        <v>0</v>
      </c>
      <c r="G91" s="48">
        <f>IFERROR('Cash Flow'!K18,0)</f>
        <v>0</v>
      </c>
      <c r="H91" s="48">
        <f>IFERROR('Cash Flow'!L18,0)</f>
        <v>11</v>
      </c>
      <c r="I91" s="48">
        <f>IFERROR('Cash Flow'!M18,0)</f>
        <v>27</v>
      </c>
      <c r="J91" s="48">
        <f>IFERROR('Cash Flow'!N18,0)</f>
        <v>151</v>
      </c>
    </row>
    <row r="92" spans="2:10" outlineLevel="2">
      <c r="B92" s="1" t="s">
        <v>96</v>
      </c>
      <c r="D92" s="48">
        <f>IFERROR('Cash Flow'!H19,0)</f>
        <v>0</v>
      </c>
      <c r="E92" s="48">
        <f>IFERROR('Cash Flow'!I19,0)</f>
        <v>1</v>
      </c>
      <c r="F92" s="48">
        <f>IFERROR('Cash Flow'!J19,0)</f>
        <v>5</v>
      </c>
      <c r="G92" s="48">
        <f>IFERROR('Cash Flow'!K19,0)</f>
        <v>10</v>
      </c>
      <c r="H92" s="48">
        <f>IFERROR('Cash Flow'!L19,0)</f>
        <v>31</v>
      </c>
      <c r="I92" s="48">
        <f>IFERROR('Cash Flow'!M19,0)</f>
        <v>34</v>
      </c>
      <c r="J92" s="48">
        <f>IFERROR('Cash Flow'!N19,0)</f>
        <v>26</v>
      </c>
    </row>
    <row r="93" spans="2:10" outlineLevel="2">
      <c r="B93" s="1" t="s">
        <v>97</v>
      </c>
      <c r="D93" s="48">
        <f>IFERROR('Cash Flow'!H20,0)</f>
        <v>0</v>
      </c>
      <c r="E93" s="48">
        <f>IFERROR('Cash Flow'!I20,0)</f>
        <v>0</v>
      </c>
      <c r="F93" s="48">
        <f>IFERROR('Cash Flow'!J20,0)</f>
        <v>0</v>
      </c>
      <c r="G93" s="48">
        <f>IFERROR('Cash Flow'!K20,0)</f>
        <v>0</v>
      </c>
      <c r="H93" s="48">
        <f>IFERROR('Cash Flow'!L20,0)</f>
        <v>0</v>
      </c>
      <c r="I93" s="48">
        <f>IFERROR('Cash Flow'!M20,0)</f>
        <v>0</v>
      </c>
      <c r="J93" s="48">
        <f>IFERROR('Cash Flow'!N20,0)</f>
        <v>0</v>
      </c>
    </row>
    <row r="94" spans="2:10" outlineLevel="2">
      <c r="B94" s="1" t="s">
        <v>98</v>
      </c>
      <c r="D94" s="48">
        <f>IFERROR('Cash Flow'!H21,0)</f>
        <v>0</v>
      </c>
      <c r="E94" s="48">
        <f>IFERROR('Cash Flow'!I21,0)</f>
        <v>0</v>
      </c>
      <c r="F94" s="48">
        <f>IFERROR('Cash Flow'!J21,0)</f>
        <v>0</v>
      </c>
      <c r="G94" s="48">
        <f>IFERROR('Cash Flow'!K21,0)</f>
        <v>-27</v>
      </c>
      <c r="H94" s="48">
        <f>IFERROR('Cash Flow'!L21,0)</f>
        <v>0</v>
      </c>
      <c r="I94" s="48">
        <f>IFERROR('Cash Flow'!M21,0)</f>
        <v>0</v>
      </c>
      <c r="J94" s="48">
        <f>IFERROR('Cash Flow'!N21,0)</f>
        <v>0</v>
      </c>
    </row>
    <row r="95" spans="2:10" outlineLevel="2">
      <c r="B95" s="1" t="s">
        <v>99</v>
      </c>
      <c r="D95" s="48">
        <f>IFERROR('Cash Flow'!H22,0)</f>
        <v>0</v>
      </c>
      <c r="E95" s="48">
        <f>IFERROR('Cash Flow'!I22,0)</f>
        <v>0</v>
      </c>
      <c r="F95" s="48">
        <f>IFERROR('Cash Flow'!J22,0)</f>
        <v>-43</v>
      </c>
      <c r="G95" s="48">
        <f>IFERROR('Cash Flow'!K22,0)</f>
        <v>-190</v>
      </c>
      <c r="H95" s="48">
        <f>IFERROR('Cash Flow'!L22,0)</f>
        <v>62</v>
      </c>
      <c r="I95" s="48">
        <f>IFERROR('Cash Flow'!M22,0)</f>
        <v>62</v>
      </c>
      <c r="J95" s="48">
        <f>IFERROR('Cash Flow'!N22,0)</f>
        <v>-148</v>
      </c>
    </row>
    <row r="96" spans="2:10" s="9" customFormat="1" outlineLevel="1">
      <c r="B96" s="46" t="s">
        <v>116</v>
      </c>
      <c r="C96" s="22"/>
      <c r="D96" s="49">
        <f>IFERROR('Cash Flow'!H14,0)</f>
        <v>-60</v>
      </c>
      <c r="E96" s="49">
        <f>IFERROR('Cash Flow'!I14,0)</f>
        <v>-45</v>
      </c>
      <c r="F96" s="49">
        <f>IFERROR('Cash Flow'!J14,0)</f>
        <v>-84</v>
      </c>
      <c r="G96" s="49">
        <f>IFERROR('Cash Flow'!K14,0)</f>
        <v>-259</v>
      </c>
      <c r="H96" s="49">
        <f>IFERROR('Cash Flow'!L14,0)</f>
        <v>-141</v>
      </c>
      <c r="I96" s="49">
        <f>IFERROR('Cash Flow'!M14,0)</f>
        <v>-49</v>
      </c>
      <c r="J96" s="49">
        <f>IFERROR('Cash Flow'!N14,0)</f>
        <v>-249</v>
      </c>
    </row>
    <row r="97" spans="1:10" outlineLevel="1"/>
    <row r="98" spans="1:10" outlineLevel="1">
      <c r="B98" s="9" t="s">
        <v>117</v>
      </c>
    </row>
    <row r="99" spans="1:10" outlineLevel="2">
      <c r="B99" s="1" t="s">
        <v>100</v>
      </c>
      <c r="D99" s="345">
        <f>'Cash Flow'!H24</f>
        <v>0</v>
      </c>
      <c r="E99" s="345">
        <f>'Cash Flow'!I24</f>
        <v>0</v>
      </c>
      <c r="F99" s="345">
        <f>'Cash Flow'!J24</f>
        <v>0</v>
      </c>
      <c r="G99" s="345">
        <f>'Cash Flow'!K24</f>
        <v>0</v>
      </c>
      <c r="H99" s="345">
        <f>'Cash Flow'!L24</f>
        <v>0</v>
      </c>
      <c r="I99" s="345">
        <f>'Cash Flow'!M24</f>
        <v>0</v>
      </c>
      <c r="J99" s="345">
        <f>'Cash Flow'!N24</f>
        <v>0</v>
      </c>
    </row>
    <row r="100" spans="1:10" outlineLevel="2">
      <c r="B100" s="1" t="s">
        <v>101</v>
      </c>
      <c r="D100" s="345">
        <f>'Cash Flow'!H25</f>
        <v>10.76</v>
      </c>
      <c r="E100" s="345">
        <f>'Cash Flow'!I25</f>
        <v>0</v>
      </c>
      <c r="F100" s="345">
        <f>'Cash Flow'!J25</f>
        <v>22.55</v>
      </c>
      <c r="G100" s="345">
        <f>'Cash Flow'!K25</f>
        <v>5.3</v>
      </c>
      <c r="H100" s="345">
        <f>'Cash Flow'!L25</f>
        <v>0</v>
      </c>
      <c r="I100" s="345">
        <f>'Cash Flow'!M25</f>
        <v>0</v>
      </c>
      <c r="J100" s="345">
        <f>'Cash Flow'!N25</f>
        <v>6.51</v>
      </c>
    </row>
    <row r="101" spans="1:10" outlineLevel="2">
      <c r="B101" s="1" t="s">
        <v>102</v>
      </c>
      <c r="D101" s="345">
        <f>'Cash Flow'!H26</f>
        <v>-81.069999999999993</v>
      </c>
      <c r="E101" s="345">
        <f>'Cash Flow'!I26</f>
        <v>-0.1</v>
      </c>
      <c r="F101" s="345">
        <f>'Cash Flow'!J26</f>
        <v>0</v>
      </c>
      <c r="G101" s="345">
        <f>'Cash Flow'!K26</f>
        <v>0</v>
      </c>
      <c r="H101" s="345">
        <f>'Cash Flow'!L26</f>
        <v>-12.5</v>
      </c>
      <c r="I101" s="345">
        <f>'Cash Flow'!M26</f>
        <v>-6.01</v>
      </c>
      <c r="J101" s="345">
        <f>'Cash Flow'!N26</f>
        <v>0</v>
      </c>
    </row>
    <row r="102" spans="1:10" outlineLevel="2">
      <c r="B102" s="1" t="s">
        <v>103</v>
      </c>
      <c r="D102" s="345">
        <f>'Cash Flow'!H27</f>
        <v>-8.75</v>
      </c>
      <c r="E102" s="345">
        <f>'Cash Flow'!I27</f>
        <v>-7.99</v>
      </c>
      <c r="F102" s="345">
        <f>'Cash Flow'!J27</f>
        <v>-4.22</v>
      </c>
      <c r="G102" s="345">
        <f>'Cash Flow'!K27</f>
        <v>-6.07</v>
      </c>
      <c r="H102" s="345">
        <f>'Cash Flow'!L27</f>
        <v>-5.17</v>
      </c>
      <c r="I102" s="345">
        <f>'Cash Flow'!M27</f>
        <v>-2.39</v>
      </c>
      <c r="J102" s="345">
        <f>'Cash Flow'!N27</f>
        <v>-2.79</v>
      </c>
    </row>
    <row r="103" spans="1:10" outlineLevel="2">
      <c r="B103" s="1" t="s">
        <v>104</v>
      </c>
      <c r="D103" s="345">
        <f>'Cash Flow'!H28</f>
        <v>-29.5</v>
      </c>
      <c r="E103" s="345">
        <f>'Cash Flow'!I28</f>
        <v>-4.09</v>
      </c>
      <c r="F103" s="345">
        <f>'Cash Flow'!J28</f>
        <v>-10.58</v>
      </c>
      <c r="G103" s="345">
        <f>'Cash Flow'!K28</f>
        <v>-10.17</v>
      </c>
      <c r="H103" s="345">
        <f>'Cash Flow'!L28</f>
        <v>-22.66</v>
      </c>
      <c r="I103" s="345">
        <f>'Cash Flow'!M28</f>
        <v>-27.19</v>
      </c>
      <c r="J103" s="345">
        <f>'Cash Flow'!N28</f>
        <v>-36.25</v>
      </c>
    </row>
    <row r="104" spans="1:10" outlineLevel="2">
      <c r="B104" s="1" t="s">
        <v>105</v>
      </c>
      <c r="D104" s="345">
        <f>'Cash Flow'!H29</f>
        <v>0</v>
      </c>
      <c r="E104" s="345">
        <f>'Cash Flow'!I29</f>
        <v>-3.1</v>
      </c>
      <c r="F104" s="345">
        <f>'Cash Flow'!J29</f>
        <v>-19.39</v>
      </c>
      <c r="G104" s="345">
        <f>'Cash Flow'!K29</f>
        <v>-20.77</v>
      </c>
      <c r="H104" s="345">
        <f>'Cash Flow'!L29</f>
        <v>-28.4</v>
      </c>
      <c r="I104" s="345">
        <f>'Cash Flow'!M29</f>
        <v>-29.57</v>
      </c>
      <c r="J104" s="345">
        <f>'Cash Flow'!N29</f>
        <v>-38.4</v>
      </c>
    </row>
    <row r="105" spans="1:10" outlineLevel="2">
      <c r="B105" s="1" t="s">
        <v>106</v>
      </c>
      <c r="D105" s="345">
        <f>'Cash Flow'!H30</f>
        <v>-5</v>
      </c>
      <c r="E105" s="345">
        <f>'Cash Flow'!I30</f>
        <v>0</v>
      </c>
      <c r="F105" s="345">
        <f>'Cash Flow'!J30</f>
        <v>91.16</v>
      </c>
      <c r="G105" s="345">
        <f>'Cash Flow'!K30</f>
        <v>229.54</v>
      </c>
      <c r="H105" s="345">
        <f>'Cash Flow'!L30</f>
        <v>0</v>
      </c>
      <c r="I105" s="345">
        <f>'Cash Flow'!M30</f>
        <v>0</v>
      </c>
      <c r="J105" s="345">
        <f>'Cash Flow'!N30</f>
        <v>0</v>
      </c>
    </row>
    <row r="106" spans="1:10" s="9" customFormat="1" outlineLevel="1">
      <c r="B106" s="22" t="s">
        <v>118</v>
      </c>
      <c r="C106" s="22"/>
      <c r="D106" s="45">
        <f>IFERROR('Cash Flow'!H23,0)</f>
        <v>-114</v>
      </c>
      <c r="E106" s="45">
        <f>IFERROR('Cash Flow'!I23,0)</f>
        <v>-15</v>
      </c>
      <c r="F106" s="45">
        <f>IFERROR('Cash Flow'!J23,0)</f>
        <v>80</v>
      </c>
      <c r="G106" s="45">
        <f>IFERROR('Cash Flow'!K23,0)</f>
        <v>198</v>
      </c>
      <c r="H106" s="45">
        <f>IFERROR('Cash Flow'!L23,0)</f>
        <v>-69</v>
      </c>
      <c r="I106" s="45">
        <f>IFERROR('Cash Flow'!M23,0)</f>
        <v>-65</v>
      </c>
      <c r="J106" s="45">
        <f>IFERROR('Cash Flow'!N23,0)</f>
        <v>-71</v>
      </c>
    </row>
    <row r="107" spans="1:10" outlineLevel="1"/>
    <row r="108" spans="1:10" outlineLevel="1">
      <c r="B108" s="22" t="s">
        <v>5</v>
      </c>
      <c r="C108" s="44"/>
      <c r="D108" s="45">
        <f>SUM(D106+D96+D85)</f>
        <v>59</v>
      </c>
      <c r="E108" s="45">
        <f t="shared" ref="E108:J108" si="20">SUM(E106+E96+E85)</f>
        <v>119</v>
      </c>
      <c r="F108" s="45">
        <f t="shared" si="20"/>
        <v>95</v>
      </c>
      <c r="G108" s="45">
        <f t="shared" si="20"/>
        <v>176</v>
      </c>
      <c r="H108" s="45">
        <f t="shared" si="20"/>
        <v>20</v>
      </c>
      <c r="I108" s="45">
        <f t="shared" si="20"/>
        <v>93</v>
      </c>
      <c r="J108" s="45">
        <f t="shared" si="20"/>
        <v>138</v>
      </c>
    </row>
    <row r="111" spans="1:10">
      <c r="A111" s="1" t="s">
        <v>58</v>
      </c>
      <c r="B111" s="441" t="s">
        <v>244</v>
      </c>
      <c r="C111" s="441"/>
      <c r="D111" s="441"/>
      <c r="E111" s="441"/>
      <c r="F111" s="441"/>
      <c r="G111" s="441"/>
      <c r="H111" s="441"/>
      <c r="I111" s="441"/>
      <c r="J111" s="441"/>
    </row>
    <row r="112" spans="1:10" outlineLevel="1"/>
    <row r="113" spans="2:10" ht="14.4" outlineLevel="1" thickBot="1">
      <c r="B113" s="137" t="s">
        <v>243</v>
      </c>
      <c r="C113" s="145"/>
      <c r="D113" s="138">
        <f>'Data Sheet'!E16</f>
        <v>43921</v>
      </c>
      <c r="E113" s="138">
        <f>'Data Sheet'!F16</f>
        <v>44286</v>
      </c>
      <c r="F113" s="138">
        <f>'Data Sheet'!G16</f>
        <v>44651</v>
      </c>
      <c r="G113" s="138">
        <f>'Data Sheet'!H16</f>
        <v>45016</v>
      </c>
      <c r="H113" s="138">
        <f>'Data Sheet'!I16</f>
        <v>45382</v>
      </c>
      <c r="I113" s="138">
        <f>'Data Sheet'!J16</f>
        <v>45747</v>
      </c>
      <c r="J113" s="138">
        <f>'Data Sheet'!K16</f>
        <v>46112</v>
      </c>
    </row>
    <row r="114" spans="2:10" outlineLevel="1"/>
    <row r="115" spans="2:10" outlineLevel="1">
      <c r="B115" s="327" t="str">
        <f>'Data Sheet'!A17</f>
        <v>Sales</v>
      </c>
      <c r="C115" s="9"/>
      <c r="D115" s="328">
        <f>'Data Sheet'!E17/'Data Sheet'!E$17</f>
        <v>1</v>
      </c>
      <c r="E115" s="328">
        <f>'Data Sheet'!F17/'Data Sheet'!F$17</f>
        <v>1</v>
      </c>
      <c r="F115" s="328">
        <f>'Data Sheet'!G17/'Data Sheet'!G$17</f>
        <v>1</v>
      </c>
      <c r="G115" s="328">
        <f>'Data Sheet'!H17/'Data Sheet'!H$17</f>
        <v>1</v>
      </c>
      <c r="H115" s="328">
        <f>'Data Sheet'!I17/'Data Sheet'!I$17</f>
        <v>1</v>
      </c>
      <c r="I115" s="328">
        <f>'Data Sheet'!J17/'Data Sheet'!J$17</f>
        <v>1</v>
      </c>
      <c r="J115" s="328">
        <f>'Data Sheet'!K17/'Data Sheet'!K$17</f>
        <v>1</v>
      </c>
    </row>
    <row r="116" spans="2:10" outlineLevel="1">
      <c r="B116" s="10" t="str">
        <f>'Data Sheet'!A18</f>
        <v>Raw Material Cost</v>
      </c>
      <c r="D116" s="12">
        <f>'Data Sheet'!E18/'Data Sheet'!E$17</f>
        <v>0.45395473501379813</v>
      </c>
      <c r="E116" s="12">
        <f>'Data Sheet'!F18/'Data Sheet'!F$17</f>
        <v>0.53142030838989085</v>
      </c>
      <c r="F116" s="12">
        <f>'Data Sheet'!G18/'Data Sheet'!G$17</f>
        <v>0.47216334415497302</v>
      </c>
      <c r="G116" s="12">
        <f>'Data Sheet'!H18/'Data Sheet'!H$17</f>
        <v>0.50090705886164111</v>
      </c>
      <c r="H116" s="12">
        <f>'Data Sheet'!I18/'Data Sheet'!I$17</f>
        <v>0.51068930518368161</v>
      </c>
      <c r="I116" s="12">
        <f>'Data Sheet'!J18/'Data Sheet'!J$17</f>
        <v>0.50612882932687731</v>
      </c>
      <c r="J116" s="12">
        <f>'Data Sheet'!K18/'Data Sheet'!K$17</f>
        <v>0.47906768690654505</v>
      </c>
    </row>
    <row r="117" spans="2:10" outlineLevel="1">
      <c r="B117" s="10" t="str">
        <f>'Data Sheet'!A19</f>
        <v>Change in Inventory</v>
      </c>
      <c r="D117" s="12">
        <f>'Data Sheet'!E19/'Data Sheet'!E$17</f>
        <v>-4.6684476419710637E-2</v>
      </c>
      <c r="E117" s="12">
        <f>'Data Sheet'!F19/'Data Sheet'!F$17</f>
        <v>9.9027743463791076E-2</v>
      </c>
      <c r="F117" s="12">
        <f>'Data Sheet'!G19/'Data Sheet'!G$17</f>
        <v>-8.6528400096589856E-3</v>
      </c>
      <c r="G117" s="12">
        <f>'Data Sheet'!H19/'Data Sheet'!H$17</f>
        <v>3.450063170170721E-3</v>
      </c>
      <c r="H117" s="12">
        <f>'Data Sheet'!I19/'Data Sheet'!I$17</f>
        <v>3.3921034623704313E-2</v>
      </c>
      <c r="I117" s="12">
        <f>'Data Sheet'!J19/'Data Sheet'!J$17</f>
        <v>7.0061192977105058E-2</v>
      </c>
      <c r="J117" s="12">
        <f>'Data Sheet'!K19/'Data Sheet'!K$17</f>
        <v>4.622933709258744E-2</v>
      </c>
    </row>
    <row r="118" spans="2:10" outlineLevel="1">
      <c r="B118" s="10" t="str">
        <f>'Data Sheet'!A20</f>
        <v>Power and Fuel</v>
      </c>
      <c r="D118" s="12">
        <f>'Data Sheet'!E20/'Data Sheet'!E$17</f>
        <v>1.2343393198790346E-2</v>
      </c>
      <c r="E118" s="12">
        <f>'Data Sheet'!F20/'Data Sheet'!F$17</f>
        <v>1.1931578717900276E-2</v>
      </c>
      <c r="F118" s="12">
        <f>'Data Sheet'!G20/'Data Sheet'!G$17</f>
        <v>1.2469480292989188E-2</v>
      </c>
      <c r="G118" s="12">
        <f>'Data Sheet'!H20/'Data Sheet'!H$17</f>
        <v>1.3227941732266459E-2</v>
      </c>
      <c r="H118" s="12">
        <f>'Data Sheet'!I20/'Data Sheet'!I$17</f>
        <v>1.6965109924175971E-2</v>
      </c>
      <c r="I118" s="12">
        <f>'Data Sheet'!J20/'Data Sheet'!J$17</f>
        <v>1.528108736679566E-2</v>
      </c>
      <c r="J118" s="12">
        <f>'Data Sheet'!K20/'Data Sheet'!K$17</f>
        <v>1.8326363802720489E-2</v>
      </c>
    </row>
    <row r="119" spans="2:10" outlineLevel="1">
      <c r="B119" s="10" t="str">
        <f>'Data Sheet'!A21</f>
        <v>Other Mfr. Exp</v>
      </c>
      <c r="D119" s="12">
        <f>'Data Sheet'!E21/'Data Sheet'!E$17</f>
        <v>2.832808739122385E-2</v>
      </c>
      <c r="E119" s="12">
        <f>'Data Sheet'!F21/'Data Sheet'!F$17</f>
        <v>2.4735136392041737E-2</v>
      </c>
      <c r="F119" s="12">
        <f>'Data Sheet'!G21/'Data Sheet'!G$17</f>
        <v>8.5388103351130909E-3</v>
      </c>
      <c r="G119" s="12">
        <f>'Data Sheet'!H21/'Data Sheet'!H$17</f>
        <v>1.0118025635211159E-2</v>
      </c>
      <c r="H119" s="12">
        <f>'Data Sheet'!I21/'Data Sheet'!I$17</f>
        <v>4.0093505586912895E-2</v>
      </c>
      <c r="I119" s="12">
        <f>'Data Sheet'!J21/'Data Sheet'!J$17</f>
        <v>5.340755285281279E-2</v>
      </c>
      <c r="J119" s="12">
        <f>'Data Sheet'!K21/'Data Sheet'!K$17</f>
        <v>5.2823845960948038E-2</v>
      </c>
    </row>
    <row r="120" spans="2:10" outlineLevel="1">
      <c r="B120" s="10" t="str">
        <f>'Data Sheet'!A22</f>
        <v>Employee Cost</v>
      </c>
      <c r="D120" s="12">
        <f>'Data Sheet'!E22/'Data Sheet'!E$17</f>
        <v>0.14849102018144786</v>
      </c>
      <c r="E120" s="12">
        <f>'Data Sheet'!F22/'Data Sheet'!F$17</f>
        <v>0.14338240637125957</v>
      </c>
      <c r="F120" s="12">
        <f>'Data Sheet'!G22/'Data Sheet'!G$17</f>
        <v>0.14776904295564919</v>
      </c>
      <c r="G120" s="12">
        <f>'Data Sheet'!H22/'Data Sheet'!H$17</f>
        <v>0.12923969030418866</v>
      </c>
      <c r="H120" s="12">
        <f>'Data Sheet'!I22/'Data Sheet'!I$17</f>
        <v>0.13485746827653036</v>
      </c>
      <c r="I120" s="12">
        <f>'Data Sheet'!J22/'Data Sheet'!J$17</f>
        <v>0.13355700859751798</v>
      </c>
      <c r="J120" s="12">
        <f>'Data Sheet'!K22/'Data Sheet'!K$17</f>
        <v>0.14264268334835681</v>
      </c>
    </row>
    <row r="121" spans="2:10" outlineLevel="1">
      <c r="B121" s="10" t="str">
        <f>'Data Sheet'!A23</f>
        <v>Selling and admin</v>
      </c>
      <c r="D121" s="12">
        <f>'Data Sheet'!E23/'Data Sheet'!E$17</f>
        <v>0.10613554809074156</v>
      </c>
      <c r="E121" s="12">
        <f>'Data Sheet'!F23/'Data Sheet'!F$17</f>
        <v>0.11230362307256318</v>
      </c>
      <c r="F121" s="12">
        <f>'Data Sheet'!G23/'Data Sheet'!G$17</f>
        <v>9.9547905878565102E-2</v>
      </c>
      <c r="G121" s="12">
        <f>'Data Sheet'!H23/'Data Sheet'!H$17</f>
        <v>7.8147440258295814E-2</v>
      </c>
      <c r="H121" s="12">
        <f>'Data Sheet'!I23/'Data Sheet'!I$17</f>
        <v>0.10857394794733193</v>
      </c>
      <c r="I121" s="12">
        <f>'Data Sheet'!J23/'Data Sheet'!J$17</f>
        <v>0.14268448443487047</v>
      </c>
      <c r="J121" s="12">
        <f>'Data Sheet'!K23/'Data Sheet'!K$17</f>
        <v>0.12546849478471267</v>
      </c>
    </row>
    <row r="122" spans="2:10" outlineLevel="1">
      <c r="B122" s="10" t="str">
        <f>'Data Sheet'!A24</f>
        <v>Other Expenses</v>
      </c>
      <c r="D122" s="12">
        <f>'Data Sheet'!E24/'Data Sheet'!E$17</f>
        <v>3.4561500956612971E-2</v>
      </c>
      <c r="E122" s="12">
        <f>'Data Sheet'!F24/'Data Sheet'!F$17</f>
        <v>2.8462846429972825E-2</v>
      </c>
      <c r="F122" s="12">
        <f>'Data Sheet'!G24/'Data Sheet'!G$17</f>
        <v>7.720479729548442E-2</v>
      </c>
      <c r="G122" s="12">
        <f>'Data Sheet'!H24/'Data Sheet'!H$17</f>
        <v>8.8459835649572924E-2</v>
      </c>
      <c r="H122" s="12">
        <f>'Data Sheet'!I24/'Data Sheet'!I$17</f>
        <v>1.2133681759521635E-2</v>
      </c>
      <c r="I122" s="12">
        <f>'Data Sheet'!J24/'Data Sheet'!J$17</f>
        <v>1.5898736107669141E-2</v>
      </c>
      <c r="J122" s="12">
        <f>'Data Sheet'!K24/'Data Sheet'!K$17</f>
        <v>2.4283787538885913E-2</v>
      </c>
    </row>
    <row r="123" spans="2:10" outlineLevel="1">
      <c r="B123" s="10" t="str">
        <f>'Data Sheet'!A25</f>
        <v>Other Income</v>
      </c>
      <c r="D123" s="12">
        <f>'Data Sheet'!E25/'Data Sheet'!E$17</f>
        <v>2.9095141111434392E-4</v>
      </c>
      <c r="E123" s="12">
        <f>'Data Sheet'!F25/'Data Sheet'!F$17</f>
        <v>4.8540161897426201E-3</v>
      </c>
      <c r="F123" s="12">
        <f>'Data Sheet'!G25/'Data Sheet'!G$17</f>
        <v>2.8071422822033218E-2</v>
      </c>
      <c r="G123" s="12">
        <f>'Data Sheet'!H25/'Data Sheet'!H$17</f>
        <v>3.1882039154707525E-2</v>
      </c>
      <c r="H123" s="12">
        <f>'Data Sheet'!I25/'Data Sheet'!I$17</f>
        <v>2.315595133667982E-2</v>
      </c>
      <c r="I123" s="12">
        <f>'Data Sheet'!J25/'Data Sheet'!J$17</f>
        <v>2.5277846617229351E-2</v>
      </c>
      <c r="J123" s="12">
        <f>'Data Sheet'!K25/'Data Sheet'!K$17</f>
        <v>2.7943638298304943E-2</v>
      </c>
    </row>
    <row r="124" spans="2:10" outlineLevel="1">
      <c r="B124" s="10" t="str">
        <f>'Data Sheet'!A26</f>
        <v>Depreciation</v>
      </c>
      <c r="D124" s="12">
        <f>'Data Sheet'!E26/'Data Sheet'!E$17</f>
        <v>2.3505347334267904E-2</v>
      </c>
      <c r="E124" s="12">
        <f>'Data Sheet'!F26/'Data Sheet'!F$17</f>
        <v>2.6268366056765829E-2</v>
      </c>
      <c r="F124" s="12">
        <f>'Data Sheet'!G26/'Data Sheet'!G$17</f>
        <v>3.0036757800971266E-2</v>
      </c>
      <c r="G124" s="12">
        <f>'Data Sheet'!H26/'Data Sheet'!H$17</f>
        <v>2.7994644033388406E-2</v>
      </c>
      <c r="H124" s="12">
        <f>'Data Sheet'!I26/'Data Sheet'!I$17</f>
        <v>3.4109331728980764E-2</v>
      </c>
      <c r="I124" s="12">
        <f>'Data Sheet'!J26/'Data Sheet'!J$17</f>
        <v>3.1793659568789677E-2</v>
      </c>
      <c r="J124" s="12">
        <f>'Data Sheet'!K26/'Data Sheet'!K$17</f>
        <v>3.3423248185323995E-2</v>
      </c>
    </row>
    <row r="125" spans="2:10" outlineLevel="1">
      <c r="B125" s="10" t="str">
        <f>'Data Sheet'!A27</f>
        <v>Interest</v>
      </c>
      <c r="D125" s="12">
        <f>'Data Sheet'!E27/'Data Sheet'!E$17</f>
        <v>7.7146207492439665E-3</v>
      </c>
      <c r="E125" s="12">
        <f>'Data Sheet'!F27/'Data Sheet'!F$17</f>
        <v>5.8059265503059192E-3</v>
      </c>
      <c r="F125" s="12">
        <f>'Data Sheet'!G27/'Data Sheet'!G$17</f>
        <v>5.6679455877223575E-3</v>
      </c>
      <c r="G125" s="12">
        <f>'Data Sheet'!H27/'Data Sheet'!H$17</f>
        <v>4.9294329802282762E-3</v>
      </c>
      <c r="H125" s="12">
        <f>'Data Sheet'!I27/'Data Sheet'!I$17</f>
        <v>5.1437258026738189E-3</v>
      </c>
      <c r="I125" s="12">
        <f>'Data Sheet'!J27/'Data Sheet'!J$17</f>
        <v>4.4455458756695963E-3</v>
      </c>
      <c r="J125" s="12">
        <f>'Data Sheet'!K27/'Data Sheet'!K$17</f>
        <v>8.1770554467390042E-3</v>
      </c>
    </row>
    <row r="126" spans="2:10" outlineLevel="1">
      <c r="B126" s="10" t="str">
        <f>'Data Sheet'!A28</f>
        <v>Profit before tax</v>
      </c>
      <c r="D126" s="12">
        <f>'Data Sheet'!E28/'Data Sheet'!E$17</f>
        <v>0.13857222207527706</v>
      </c>
      <c r="E126" s="12">
        <f>'Data Sheet'!F28/'Data Sheet'!F$17</f>
        <v>0.21957156767283351</v>
      </c>
      <c r="F126" s="12">
        <f>'Data Sheet'!G28/'Data Sheet'!G$17</f>
        <v>0.16602049851090661</v>
      </c>
      <c r="G126" s="12">
        <f>'Data Sheet'!H28/'Data Sheet'!H$17</f>
        <v>0.18230803287008543</v>
      </c>
      <c r="H126" s="12">
        <f>'Data Sheet'!I28/'Data Sheet'!I$17</f>
        <v>0.19451090975057522</v>
      </c>
      <c r="I126" s="12">
        <f>'Data Sheet'!J28/'Data Sheet'!J$17</f>
        <v>0.19214213546333186</v>
      </c>
      <c r="J126" s="12">
        <f>'Data Sheet'!K28/'Data Sheet'!K$17</f>
        <v>0.18995980941666044</v>
      </c>
    </row>
    <row r="127" spans="2:10" outlineLevel="1">
      <c r="B127" s="10" t="str">
        <f>'Data Sheet'!A29</f>
        <v>Tax</v>
      </c>
      <c r="D127" s="12">
        <f>'Data Sheet'!E29/'Data Sheet'!E$17</f>
        <v>3.2110455735710322E-2</v>
      </c>
      <c r="E127" s="12">
        <f>'Data Sheet'!F29/'Data Sheet'!F$17</f>
        <v>4.6229417663387055E-2</v>
      </c>
      <c r="F127" s="12">
        <f>'Data Sheet'!G29/'Data Sheet'!G$17</f>
        <v>4.0715301440798483E-2</v>
      </c>
      <c r="G127" s="12">
        <f>'Data Sheet'!H29/'Data Sheet'!H$17</f>
        <v>3.9052123489585019E-2</v>
      </c>
      <c r="H127" s="12">
        <f>'Data Sheet'!I29/'Data Sheet'!I$17</f>
        <v>4.9889547673612228E-2</v>
      </c>
      <c r="I127" s="12">
        <f>'Data Sheet'!J29/'Data Sheet'!J$17</f>
        <v>4.6266465867281774E-2</v>
      </c>
      <c r="J127" s="12">
        <f>'Data Sheet'!K29/'Data Sheet'!K$17</f>
        <v>4.7608558628775915E-2</v>
      </c>
    </row>
    <row r="128" spans="2:10" outlineLevel="1">
      <c r="B128" s="10" t="str">
        <f>'Data Sheet'!A30</f>
        <v>Net profit</v>
      </c>
      <c r="D128" s="12">
        <f>'Data Sheet'!E30/'Data Sheet'!E$17</f>
        <v>0.10646176633956675</v>
      </c>
      <c r="E128" s="12">
        <f>'Data Sheet'!F30/'Data Sheet'!F$17</f>
        <v>0.17144559577962185</v>
      </c>
      <c r="F128" s="12">
        <f>'Data Sheet'!G30/'Data Sheet'!G$17</f>
        <v>0.12380268841726812</v>
      </c>
      <c r="G128" s="12">
        <f>'Data Sheet'!H30/'Data Sheet'!H$17</f>
        <v>0.14378502704979104</v>
      </c>
      <c r="H128" s="12">
        <f>'Data Sheet'!I30/'Data Sheet'!I$17</f>
        <v>0.14407024859810511</v>
      </c>
      <c r="I128" s="12">
        <f>'Data Sheet'!J30/'Data Sheet'!J$17</f>
        <v>0.14510170234668396</v>
      </c>
      <c r="J128" s="12">
        <f>'Data Sheet'!K30/'Data Sheet'!K$17</f>
        <v>0.14161589188529755</v>
      </c>
    </row>
    <row r="129" spans="1:10" outlineLevel="1">
      <c r="B129" s="10" t="str">
        <f>'Data Sheet'!A31</f>
        <v>Dividend Amount</v>
      </c>
      <c r="D129" s="12">
        <f>'Data Sheet'!E31/'Data Sheet'!E$17</f>
        <v>3.6060341559323228E-3</v>
      </c>
      <c r="E129" s="12">
        <f>'Data Sheet'!F31/'Data Sheet'!F$17</f>
        <v>7.4336206019561396E-3</v>
      </c>
      <c r="F129" s="12">
        <f>'Data Sheet'!G31/'Data Sheet'!G$17</f>
        <v>6.8619033564970089E-3</v>
      </c>
      <c r="G129" s="12">
        <f>'Data Sheet'!H31/'Data Sheet'!H$17</f>
        <v>1.2234496312373794E-2</v>
      </c>
      <c r="H129" s="12">
        <f>'Data Sheet'!I31/'Data Sheet'!I$17</f>
        <v>1.2487312908455461E-2</v>
      </c>
      <c r="I129" s="12">
        <f>'Data Sheet'!J31/'Data Sheet'!J$17</f>
        <v>1.3824656385229808E-2</v>
      </c>
      <c r="J129" s="12">
        <f>'Data Sheet'!K31/'Data Sheet'!K$17</f>
        <v>1.3822714118213179E-2</v>
      </c>
    </row>
    <row r="130" spans="1:10">
      <c r="B130" s="10"/>
    </row>
    <row r="131" spans="1:10">
      <c r="A131" s="1" t="s">
        <v>58</v>
      </c>
      <c r="B131" s="441" t="s">
        <v>245</v>
      </c>
      <c r="C131" s="441"/>
      <c r="D131" s="441"/>
      <c r="E131" s="441"/>
      <c r="F131" s="441"/>
      <c r="G131" s="441"/>
      <c r="H131" s="441"/>
      <c r="I131" s="441"/>
      <c r="J131" s="441"/>
    </row>
    <row r="132" spans="1:10" outlineLevel="1"/>
    <row r="133" spans="1:10" ht="14.4" outlineLevel="1" thickBot="1">
      <c r="B133" s="137" t="s">
        <v>243</v>
      </c>
      <c r="C133" s="145"/>
      <c r="D133" s="138">
        <f>'Data Sheet'!E16</f>
        <v>43921</v>
      </c>
      <c r="E133" s="138">
        <f>'Data Sheet'!F16</f>
        <v>44286</v>
      </c>
      <c r="F133" s="138">
        <f>'Data Sheet'!G16</f>
        <v>44651</v>
      </c>
      <c r="G133" s="138">
        <f>'Data Sheet'!H16</f>
        <v>45016</v>
      </c>
      <c r="H133" s="138">
        <f>'Data Sheet'!I16</f>
        <v>45382</v>
      </c>
      <c r="I133" s="138">
        <f>'Data Sheet'!J16</f>
        <v>45747</v>
      </c>
      <c r="J133" s="138">
        <f>'Data Sheet'!K16</f>
        <v>46112</v>
      </c>
    </row>
    <row r="134" spans="1:10" outlineLevel="1">
      <c r="B134" s="139"/>
      <c r="D134" s="140"/>
      <c r="E134" s="140"/>
      <c r="F134" s="140"/>
      <c r="G134" s="140"/>
      <c r="H134" s="140"/>
      <c r="I134" s="140"/>
      <c r="J134" s="140"/>
    </row>
    <row r="135" spans="1:10" outlineLevel="1">
      <c r="B135" s="143" t="s">
        <v>80</v>
      </c>
      <c r="D135" s="144">
        <f>'Data Sheet'!E61/'Data Sheet'!E$61</f>
        <v>1</v>
      </c>
      <c r="E135" s="144">
        <f>'Data Sheet'!F61/'Data Sheet'!F$61</f>
        <v>1</v>
      </c>
      <c r="F135" s="144">
        <f>'Data Sheet'!G61/'Data Sheet'!G$61</f>
        <v>1</v>
      </c>
      <c r="G135" s="144">
        <f>'Data Sheet'!H61/'Data Sheet'!H$61</f>
        <v>1</v>
      </c>
      <c r="H135" s="144">
        <f>'Data Sheet'!I61/'Data Sheet'!I$61</f>
        <v>1</v>
      </c>
      <c r="I135" s="144">
        <f>'Data Sheet'!J61/'Data Sheet'!J$61</f>
        <v>1</v>
      </c>
      <c r="J135" s="144">
        <f>'Data Sheet'!K61/'Data Sheet'!K$61</f>
        <v>1</v>
      </c>
    </row>
    <row r="136" spans="1:10" outlineLevel="1">
      <c r="B136" s="141" t="str">
        <f>'Data Sheet'!A57</f>
        <v>Equity Share Capital</v>
      </c>
      <c r="D136" s="12">
        <f>'Data Sheet'!E57/'Data Sheet'!E$61</f>
        <v>4.5375430972362338E-2</v>
      </c>
      <c r="E136" s="12">
        <f>'Data Sheet'!F57/'Data Sheet'!F$61</f>
        <v>3.3330076057393201E-2</v>
      </c>
      <c r="F136" s="12">
        <f>'Data Sheet'!G57/'Data Sheet'!G$61</f>
        <v>2.5014514896867839E-2</v>
      </c>
      <c r="G136" s="12">
        <f>'Data Sheet'!H57/'Data Sheet'!H$61</f>
        <v>2.0690379338839205E-2</v>
      </c>
      <c r="H136" s="12">
        <f>'Data Sheet'!I57/'Data Sheet'!I$61</f>
        <v>1.6904392456433517E-2</v>
      </c>
      <c r="I136" s="12">
        <f>'Data Sheet'!J57/'Data Sheet'!J$61</f>
        <v>1.3989208677507378E-2</v>
      </c>
      <c r="J136" s="12">
        <f>'Data Sheet'!K57/'Data Sheet'!K$61</f>
        <v>1.175369118291617E-2</v>
      </c>
    </row>
    <row r="137" spans="1:10" outlineLevel="1">
      <c r="B137" s="141" t="str">
        <f>'Data Sheet'!A58</f>
        <v>Reserves</v>
      </c>
      <c r="D137" s="12">
        <f>'Data Sheet'!E58/'Data Sheet'!E$61</f>
        <v>0.65971198297174161</v>
      </c>
      <c r="E137" s="12">
        <f>'Data Sheet'!F58/'Data Sheet'!F$61</f>
        <v>0.68855556098434878</v>
      </c>
      <c r="F137" s="12">
        <f>'Data Sheet'!G58/'Data Sheet'!G$61</f>
        <v>0.70975706646294878</v>
      </c>
      <c r="G137" s="12">
        <f>'Data Sheet'!H58/'Data Sheet'!H$61</f>
        <v>0.77604901410251148</v>
      </c>
      <c r="H137" s="12">
        <f>'Data Sheet'!I58/'Data Sheet'!I$61</f>
        <v>0.75336446645977562</v>
      </c>
      <c r="I137" s="12">
        <f>'Data Sheet'!J58/'Data Sheet'!J$61</f>
        <v>0.74749046190317447</v>
      </c>
      <c r="J137" s="12">
        <f>'Data Sheet'!K58/'Data Sheet'!K$61</f>
        <v>0.77229946496326329</v>
      </c>
    </row>
    <row r="138" spans="1:10" outlineLevel="1">
      <c r="B138" s="141" t="str">
        <f>'Data Sheet'!A59</f>
        <v>Borrowings</v>
      </c>
      <c r="D138" s="12">
        <f>'Data Sheet'!E59/'Data Sheet'!E$61</f>
        <v>3.2870303648437411E-2</v>
      </c>
      <c r="E138" s="12">
        <f>'Data Sheet'!F59/'Data Sheet'!F$61</f>
        <v>2.7768277389619064E-2</v>
      </c>
      <c r="F138" s="12">
        <f>'Data Sheet'!G59/'Data Sheet'!G$61</f>
        <v>6.7703590527119939E-2</v>
      </c>
      <c r="G138" s="12">
        <f>'Data Sheet'!H59/'Data Sheet'!H$61</f>
        <v>5.6131556480809357E-2</v>
      </c>
      <c r="H138" s="12">
        <f>'Data Sheet'!I59/'Data Sheet'!I$61</f>
        <v>9.1034554786345187E-2</v>
      </c>
      <c r="I138" s="12">
        <f>'Data Sheet'!J59/'Data Sheet'!J$61</f>
        <v>9.936597893593116E-2</v>
      </c>
      <c r="J138" s="12">
        <f>'Data Sheet'!K59/'Data Sheet'!K$61</f>
        <v>8.9055217969765108E-2</v>
      </c>
    </row>
    <row r="139" spans="1:10" outlineLevel="1">
      <c r="B139" s="141" t="str">
        <f>'Data Sheet'!A60</f>
        <v>Other Liabilities</v>
      </c>
      <c r="D139" s="12">
        <f>'Data Sheet'!E60/'Data Sheet'!E$61</f>
        <v>0.26204228240745875</v>
      </c>
      <c r="E139" s="12">
        <f>'Data Sheet'!F60/'Data Sheet'!F$61</f>
        <v>0.25034608556863897</v>
      </c>
      <c r="F139" s="12">
        <f>'Data Sheet'!G60/'Data Sheet'!G$61</f>
        <v>0.19752482811306341</v>
      </c>
      <c r="G139" s="12">
        <f>'Data Sheet'!H60/'Data Sheet'!H$61</f>
        <v>0.14712905007784002</v>
      </c>
      <c r="H139" s="12">
        <f>'Data Sheet'!I60/'Data Sheet'!I$61</f>
        <v>0.13869658629744569</v>
      </c>
      <c r="I139" s="12">
        <f>'Data Sheet'!J60/'Data Sheet'!J$61</f>
        <v>0.13915435048338706</v>
      </c>
      <c r="J139" s="12">
        <f>'Data Sheet'!K60/'Data Sheet'!K$61</f>
        <v>0.12689162588405548</v>
      </c>
    </row>
    <row r="140" spans="1:10" outlineLevel="1">
      <c r="B140" s="142"/>
    </row>
    <row r="141" spans="1:10" outlineLevel="1">
      <c r="B141" s="143" t="s">
        <v>81</v>
      </c>
      <c r="D141" s="144">
        <f>'Data Sheet'!B75/'Data Sheet'!B$75</f>
        <v>1</v>
      </c>
      <c r="E141" s="144">
        <f>'Data Sheet'!C75/'Data Sheet'!C$75</f>
        <v>1</v>
      </c>
      <c r="F141" s="144">
        <f>'Data Sheet'!D75/'Data Sheet'!D$75</f>
        <v>1</v>
      </c>
      <c r="G141" s="144">
        <f>'Data Sheet'!E75/'Data Sheet'!E$75</f>
        <v>1</v>
      </c>
      <c r="H141" s="144">
        <f>'Data Sheet'!F75/'Data Sheet'!F$75</f>
        <v>1</v>
      </c>
      <c r="I141" s="144">
        <f>'Data Sheet'!G75/'Data Sheet'!G$75</f>
        <v>1</v>
      </c>
      <c r="J141" s="144">
        <f>'Data Sheet'!H75/'Data Sheet'!H$75</f>
        <v>1</v>
      </c>
    </row>
    <row r="142" spans="1:10" outlineLevel="1">
      <c r="B142" s="141" t="str">
        <f>'Data Sheet'!A62</f>
        <v>Net Block</v>
      </c>
      <c r="D142" s="12">
        <f>'Data Sheet'!E62/'Data Sheet'!E$75</f>
        <v>0.33559859428178668</v>
      </c>
      <c r="E142" s="12">
        <f>'Data Sheet'!F62/'Data Sheet'!F$75</f>
        <v>0.25191772120975231</v>
      </c>
      <c r="F142" s="12">
        <f>'Data Sheet'!G62/'Data Sheet'!G$75</f>
        <v>0.2617631779984721</v>
      </c>
      <c r="G142" s="12">
        <f>'Data Sheet'!H62/'Data Sheet'!H$75</f>
        <v>0.22201982295390321</v>
      </c>
      <c r="H142" s="12">
        <f>'Data Sheet'!I62/'Data Sheet'!I$75</f>
        <v>0.28942617569825735</v>
      </c>
      <c r="I142" s="12">
        <f>'Data Sheet'!J62/'Data Sheet'!J$75</f>
        <v>0.30310775271326446</v>
      </c>
      <c r="J142" s="12">
        <f>'Data Sheet'!K62/'Data Sheet'!K$75</f>
        <v>0.27078875774480587</v>
      </c>
    </row>
    <row r="143" spans="1:10" outlineLevel="1">
      <c r="B143" s="141" t="str">
        <f>'Data Sheet'!A63</f>
        <v>Capital Work in Progress</v>
      </c>
      <c r="D143" s="12">
        <f>'Data Sheet'!E63/'Data Sheet'!E$75</f>
        <v>0</v>
      </c>
      <c r="E143" s="12">
        <f>'Data Sheet'!F63/'Data Sheet'!F$75</f>
        <v>9.5112457451833037E-3</v>
      </c>
      <c r="F143" s="12">
        <f>'Data Sheet'!G63/'Data Sheet'!G$75</f>
        <v>1.5706646294881589E-3</v>
      </c>
      <c r="G143" s="12">
        <f>'Data Sheet'!H63/'Data Sheet'!H$75</f>
        <v>4.5060468683659075E-3</v>
      </c>
      <c r="H143" s="12">
        <f>'Data Sheet'!I63/'Data Sheet'!I$75</f>
        <v>3.5136667462401525E-3</v>
      </c>
      <c r="I143" s="12">
        <f>'Data Sheet'!J63/'Data Sheet'!J$75</f>
        <v>8.3682137521453002E-3</v>
      </c>
      <c r="J143" s="12">
        <f>'Data Sheet'!K63/'Data Sheet'!K$75</f>
        <v>1.5192657314546101E-2</v>
      </c>
    </row>
    <row r="144" spans="1:10" outlineLevel="1">
      <c r="B144" s="141" t="str">
        <f>'Data Sheet'!A64</f>
        <v>Investments</v>
      </c>
      <c r="D144" s="12">
        <f>'Data Sheet'!E64/'Data Sheet'!E$75</f>
        <v>0</v>
      </c>
      <c r="E144" s="12">
        <f>'Data Sheet'!F64/'Data Sheet'!F$75</f>
        <v>2.1172293610853245E-4</v>
      </c>
      <c r="F144" s="12">
        <f>'Data Sheet'!G64/'Data Sheet'!G$75</f>
        <v>2.6890756302521009E-4</v>
      </c>
      <c r="G144" s="12">
        <f>'Data Sheet'!H64/'Data Sheet'!H$75</f>
        <v>2.4653143960664544E-4</v>
      </c>
      <c r="H144" s="12">
        <f>'Data Sheet'!I64/'Data Sheet'!I$75</f>
        <v>1.0067289329195511E-2</v>
      </c>
      <c r="I144" s="12">
        <f>'Data Sheet'!J64/'Data Sheet'!J$75</f>
        <v>2.2842044177748144E-4</v>
      </c>
      <c r="J144" s="12">
        <f>'Data Sheet'!K64/'Data Sheet'!K$75</f>
        <v>0</v>
      </c>
    </row>
    <row r="145" spans="2:10" outlineLevel="1">
      <c r="B145" s="141" t="str">
        <f>'Data Sheet'!A65</f>
        <v>Other Assets</v>
      </c>
      <c r="D145" s="12">
        <f>'Data Sheet'!E74/'Data Sheet'!E$75</f>
        <v>2.2604569692803993E-2</v>
      </c>
      <c r="E145" s="12">
        <f>'Data Sheet'!F74/'Data Sheet'!F$75</f>
        <v>1.4877607856549553E-2</v>
      </c>
      <c r="F145" s="12">
        <f>'Data Sheet'!G74/'Data Sheet'!G$75</f>
        <v>2.2270435446906069E-2</v>
      </c>
      <c r="G145" s="12">
        <f>'Data Sheet'!H74/'Data Sheet'!H$75</f>
        <v>3.5208341893452719E-2</v>
      </c>
      <c r="H145" s="12">
        <f>'Data Sheet'!I74/'Data Sheet'!I$75</f>
        <v>4.621851873955584E-2</v>
      </c>
      <c r="I145" s="12">
        <f>'Data Sheet'!J74/'Data Sheet'!J$75</f>
        <v>4.323319875047843E-2</v>
      </c>
      <c r="J145" s="12">
        <f>'Data Sheet'!K74/'Data Sheet'!K$75</f>
        <v>3.8025732595745092E-2</v>
      </c>
    </row>
    <row r="146" spans="2:10" outlineLevel="1">
      <c r="B146" s="141" t="str">
        <f>'Data Sheet'!A67</f>
        <v>Receivables</v>
      </c>
      <c r="D146" s="12">
        <f>'Data Sheet'!E67/'Data Sheet'!E$75</f>
        <v>0.26978038424442646</v>
      </c>
      <c r="E146" s="12">
        <f>'Data Sheet'!F67/'Data Sheet'!F$75</f>
        <v>0.22145404797967458</v>
      </c>
      <c r="F146" s="12">
        <f>'Data Sheet'!G67/'Data Sheet'!G$75</f>
        <v>0.24127119938884642</v>
      </c>
      <c r="G146" s="12">
        <f>'Data Sheet'!H67/'Data Sheet'!H$75</f>
        <v>0.190308575185241</v>
      </c>
      <c r="H146" s="12">
        <f>'Data Sheet'!I67/'Data Sheet'!I$75</f>
        <v>0.16903646455001195</v>
      </c>
      <c r="I146" s="12">
        <f>'Data Sheet'!J67/'Data Sheet'!J$75</f>
        <v>0.16669753429393389</v>
      </c>
      <c r="J146" s="12">
        <f>'Data Sheet'!K67/'Data Sheet'!K$75</f>
        <v>0.1671685067469611</v>
      </c>
    </row>
    <row r="147" spans="2:10" outlineLevel="1">
      <c r="B147" s="141" t="str">
        <f>'Data Sheet'!A68</f>
        <v>Inventory</v>
      </c>
      <c r="D147" s="12">
        <f>'Data Sheet'!E68/'Data Sheet'!E$75</f>
        <v>0.26810638227109962</v>
      </c>
      <c r="E147" s="12">
        <f>'Data Sheet'!F68/'Data Sheet'!F$75</f>
        <v>0.32924545202846861</v>
      </c>
      <c r="F147" s="12">
        <f>'Data Sheet'!G68/'Data Sheet'!G$75</f>
        <v>0.25939801375095495</v>
      </c>
      <c r="G147" s="12">
        <f>'Data Sheet'!H68/'Data Sheet'!H$75</f>
        <v>0.22130305562023203</v>
      </c>
      <c r="H147" s="12">
        <f>'Data Sheet'!I68/'Data Sheet'!I$75</f>
        <v>0.2304920625447601</v>
      </c>
      <c r="I147" s="12">
        <f>'Data Sheet'!J68/'Data Sheet'!J$75</f>
        <v>0.26099196206985964</v>
      </c>
      <c r="J147" s="12">
        <f>'Data Sheet'!K68/'Data Sheet'!K$75</f>
        <v>0.25215972778741691</v>
      </c>
    </row>
    <row r="148" spans="2:10" outlineLevel="1">
      <c r="B148" s="141" t="str">
        <f>'Data Sheet'!A69</f>
        <v>Cash &amp; Bank</v>
      </c>
      <c r="D148" s="12">
        <f>'Data Sheet'!E69/'Data Sheet'!E$75</f>
        <v>0.10391006950988327</v>
      </c>
      <c r="E148" s="12">
        <f>'Data Sheet'!F69/'Data Sheet'!F$75</f>
        <v>0.17278220224426313</v>
      </c>
      <c r="F148" s="12">
        <f>'Data Sheet'!G69/'Data Sheet'!G$75</f>
        <v>0.21345760122230709</v>
      </c>
      <c r="G148" s="12">
        <f>'Data Sheet'!H69/'Data Sheet'!H$75</f>
        <v>0.32640762603919854</v>
      </c>
      <c r="H148" s="12">
        <f>'Data Sheet'!I69/'Data Sheet'!I$75</f>
        <v>0.25124582239197901</v>
      </c>
      <c r="I148" s="12">
        <f>'Data Sheet'!J69/'Data Sheet'!J$75</f>
        <v>0.21737291797854086</v>
      </c>
      <c r="J148" s="12">
        <f>'Data Sheet'!K69/'Data Sheet'!K$75</f>
        <v>0.25666461781052491</v>
      </c>
    </row>
  </sheetData>
  <mergeCells count="3">
    <mergeCell ref="B7:J7"/>
    <mergeCell ref="B131:J131"/>
    <mergeCell ref="B111:J1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2920-505D-483F-AD74-1A0D0C8AA198}">
  <dimension ref="B3:L34"/>
  <sheetViews>
    <sheetView showGridLines="0" zoomScale="83" workbookViewId="0">
      <selection activeCell="M20" sqref="M20"/>
    </sheetView>
  </sheetViews>
  <sheetFormatPr defaultRowHeight="13.8"/>
  <cols>
    <col min="1" max="1" width="1.75" style="1" customWidth="1"/>
    <col min="2" max="2" width="32.5" style="1" customWidth="1"/>
    <col min="3" max="8" width="12.625" style="1" customWidth="1"/>
    <col min="9" max="9" width="20.25" style="1" customWidth="1"/>
    <col min="10" max="11" width="13.375" style="1" customWidth="1"/>
    <col min="12" max="16384" width="9" style="1"/>
  </cols>
  <sheetData>
    <row r="3" spans="2:12" ht="18" customHeight="1">
      <c r="B3" s="442" t="s">
        <v>141</v>
      </c>
      <c r="C3" s="442"/>
      <c r="D3" s="442"/>
      <c r="E3" s="442"/>
      <c r="F3" s="442"/>
      <c r="G3" s="442"/>
      <c r="H3" s="442"/>
      <c r="I3" s="442"/>
      <c r="J3" s="442"/>
      <c r="K3" s="442"/>
      <c r="L3" s="56"/>
    </row>
    <row r="4" spans="2:12" s="58" customFormat="1">
      <c r="B4" s="314" t="s">
        <v>140</v>
      </c>
      <c r="C4" s="315">
        <f>'Data Sheet'!F16</f>
        <v>44286</v>
      </c>
      <c r="D4" s="315">
        <f>'Data Sheet'!G16</f>
        <v>44651</v>
      </c>
      <c r="E4" s="315">
        <f>'Data Sheet'!H16</f>
        <v>45016</v>
      </c>
      <c r="F4" s="315">
        <f>'Data Sheet'!I16</f>
        <v>45382</v>
      </c>
      <c r="G4" s="315">
        <f>'Data Sheet'!J16</f>
        <v>45747</v>
      </c>
      <c r="H4" s="315">
        <f>'Data Sheet'!K16</f>
        <v>46112</v>
      </c>
      <c r="I4" s="316" t="s">
        <v>142</v>
      </c>
      <c r="J4" s="316" t="s">
        <v>143</v>
      </c>
      <c r="K4" s="316" t="s">
        <v>144</v>
      </c>
      <c r="L4" s="19"/>
    </row>
    <row r="5" spans="2:12">
      <c r="J5" s="57"/>
      <c r="K5" s="57"/>
    </row>
    <row r="6" spans="2:12" ht="14.4">
      <c r="B6" s="59" t="s">
        <v>55</v>
      </c>
      <c r="C6" s="84">
        <f>'Main Financials'!E12</f>
        <v>0.21333791802223576</v>
      </c>
      <c r="D6" s="84">
        <f>'Main Financials'!F12</f>
        <v>8.3317589268845541E-2</v>
      </c>
      <c r="E6" s="84">
        <f>'Main Financials'!G12</f>
        <v>0.24234659654959634</v>
      </c>
      <c r="F6" s="84">
        <f>'Main Financials'!H12</f>
        <v>0.17561847376548195</v>
      </c>
      <c r="G6" s="84">
        <f>'Main Financials'!I12</f>
        <v>0.20457332335205591</v>
      </c>
      <c r="H6" s="84">
        <f>'Main Financials'!J12</f>
        <v>0.12508912061307362</v>
      </c>
      <c r="I6" s="75"/>
      <c r="J6" s="76">
        <f>AVERAGE(C6:H6)</f>
        <v>0.17404717026188152</v>
      </c>
      <c r="K6" s="76">
        <f>MEDIAN(C6:H6)</f>
        <v>0.19009589855876893</v>
      </c>
    </row>
    <row r="7" spans="2:12" ht="14.4">
      <c r="B7" s="60" t="s">
        <v>119</v>
      </c>
      <c r="C7" s="85">
        <f>('Main Financials'!E23-'Main Financials'!D23)/'Main Financials'!D23</f>
        <v>0.76660598179453843</v>
      </c>
      <c r="D7" s="85">
        <f>('Main Financials'!F23-'Main Financials'!E23)/'Main Financials'!E23</f>
        <v>-0.23772929364308246</v>
      </c>
      <c r="E7" s="85">
        <f>('Main Financials'!G23-'Main Financials'!F23)/'Main Financials'!F23</f>
        <v>0.31171540036308876</v>
      </c>
      <c r="F7" s="85">
        <f>('Main Financials'!H23-'Main Financials'!G23)/'Main Financials'!G23</f>
        <v>0.35039312111663945</v>
      </c>
      <c r="G7" s="85">
        <f>('Main Financials'!I23-'Main Financials'!H23)/'Main Financials'!H23</f>
        <v>0.161651184090018</v>
      </c>
      <c r="H7" s="85">
        <f>('Main Financials'!J23-'Main Financials'!I23)/'Main Financials'!I23</f>
        <v>0.12793076908637008</v>
      </c>
      <c r="I7" s="77"/>
      <c r="J7" s="78">
        <f t="shared" ref="J7:J34" si="0">AVERAGE(C7:H7)</f>
        <v>0.24676119380126205</v>
      </c>
      <c r="K7" s="78">
        <f t="shared" ref="K7:K34" si="1">MEDIAN(C7:H7)</f>
        <v>0.23668329222655338</v>
      </c>
    </row>
    <row r="8" spans="2:12" ht="14.4">
      <c r="B8" s="60" t="s">
        <v>120</v>
      </c>
      <c r="C8" s="85">
        <f>('Main Financials'!E38-'Main Financials'!D38)/'Main Financials'!D38</f>
        <v>0.95395445134575563</v>
      </c>
      <c r="D8" s="85">
        <f>('Main Financials'!F38-'Main Financials'!E38)/'Main Financials'!E38</f>
        <v>-0.21772484529965247</v>
      </c>
      <c r="E8" s="85">
        <f>('Main Financials'!G38-'Main Financials'!F38)/'Main Financials'!F38</f>
        <v>0.4428672048545268</v>
      </c>
      <c r="F8" s="85">
        <f>('Main Financials'!H38-'Main Financials'!G38)/'Main Financials'!G38</f>
        <v>0.17795050880552735</v>
      </c>
      <c r="G8" s="85">
        <f>('Main Financials'!I38-'Main Financials'!H38)/'Main Financials'!H38</f>
        <v>0.21319732228243543</v>
      </c>
      <c r="H8" s="85">
        <f>('Main Financials'!J38-'Main Financials'!I38)/'Main Financials'!I38</f>
        <v>9.8060854485259322E-2</v>
      </c>
      <c r="I8" s="77"/>
      <c r="J8" s="78">
        <f t="shared" si="0"/>
        <v>0.27805091607897531</v>
      </c>
      <c r="K8" s="78">
        <f t="shared" si="1"/>
        <v>0.1955739155439814</v>
      </c>
    </row>
    <row r="9" spans="2:12" ht="14.4">
      <c r="B9" s="61" t="s">
        <v>121</v>
      </c>
      <c r="C9" s="67">
        <f>('Main Financials'!E46-'Main Financials'!D46)/'Main Financials'!D46</f>
        <v>1.5012224938875307</v>
      </c>
      <c r="D9" s="67">
        <f>('Main Financials'!F46-'Main Financials'!E46)/'Main Financials'!E46</f>
        <v>0</v>
      </c>
      <c r="E9" s="67">
        <f>('Main Financials'!G46-'Main Financials'!F46)/'Main Financials'!F46</f>
        <v>1.0004887585532745</v>
      </c>
      <c r="F9" s="67">
        <f>('Main Financials'!H46-'Main Financials'!G46)/'Main Financials'!G46</f>
        <v>0.19991173874669022</v>
      </c>
      <c r="G9" s="67">
        <f>('Main Financials'!I46-'Main Financials'!H46)/'Main Financials'!H46</f>
        <v>0.3335785215152629</v>
      </c>
      <c r="H9" s="67">
        <f>('Main Financials'!J46-'Main Financials'!I46)/'Main Financials'!I46</f>
        <v>0.12493105350248208</v>
      </c>
      <c r="I9" s="79"/>
      <c r="J9" s="80">
        <f t="shared" si="0"/>
        <v>0.5266887610342067</v>
      </c>
      <c r="K9" s="80">
        <f t="shared" si="1"/>
        <v>0.26674513013097656</v>
      </c>
    </row>
    <row r="10" spans="2:12" ht="14.4">
      <c r="B10" s="55"/>
      <c r="J10" s="73"/>
      <c r="K10" s="73"/>
    </row>
    <row r="11" spans="2:12" ht="14.4">
      <c r="B11" s="62" t="s">
        <v>122</v>
      </c>
      <c r="C11" s="84">
        <f>'Main Financials'!E18</f>
        <v>0.38755831359269871</v>
      </c>
      <c r="D11" s="84">
        <f>'Main Financials'!F18</f>
        <v>0.35040648225161652</v>
      </c>
      <c r="E11" s="84">
        <f>'Main Financials'!G18</f>
        <v>0.34995734663686334</v>
      </c>
      <c r="F11" s="84">
        <f>'Main Financials'!H18</f>
        <v>0.3313156456524034</v>
      </c>
      <c r="G11" s="84">
        <f>'Main Financials'!I18</f>
        <v>0.36168671483310144</v>
      </c>
      <c r="H11" s="84">
        <f>'Main Financials'!J18</f>
        <v>0.35336875707401716</v>
      </c>
      <c r="I11" s="75"/>
      <c r="J11" s="76">
        <f t="shared" si="0"/>
        <v>0.35571554334011674</v>
      </c>
      <c r="K11" s="76">
        <f t="shared" si="1"/>
        <v>0.35188761966281684</v>
      </c>
    </row>
    <row r="12" spans="2:12" ht="14.4">
      <c r="B12" s="63" t="s">
        <v>123</v>
      </c>
      <c r="C12" s="85">
        <f>'Main Financials'!E24</f>
        <v>0.24679184409016269</v>
      </c>
      <c r="D12" s="85">
        <f>'Main Financials'!F24</f>
        <v>0.17365377907756702</v>
      </c>
      <c r="E12" s="85">
        <f>'Main Financials'!G24</f>
        <v>0.18335007072899456</v>
      </c>
      <c r="F12" s="85">
        <f>'Main Financials'!H24</f>
        <v>0.21060801594554984</v>
      </c>
      <c r="G12" s="85">
        <f>'Main Financials'!I24</f>
        <v>0.20310349429056182</v>
      </c>
      <c r="H12" s="85">
        <f>'Main Financials'!J24</f>
        <v>0.20361647475041858</v>
      </c>
      <c r="I12" s="77"/>
      <c r="J12" s="78">
        <f t="shared" si="0"/>
        <v>0.20352061314720907</v>
      </c>
      <c r="K12" s="78">
        <f t="shared" si="1"/>
        <v>0.2033599845204902</v>
      </c>
    </row>
    <row r="13" spans="2:12" ht="14.4">
      <c r="B13" s="63" t="s">
        <v>124</v>
      </c>
      <c r="C13" s="85">
        <f>('Main Financials'!E23-'Main Financials'!E29)/'Main Financials'!E11</f>
        <v>0.22052347803339689</v>
      </c>
      <c r="D13" s="85">
        <f>('Main Financials'!F23-'Main Financials'!F29)/'Main Financials'!F11</f>
        <v>0.14361702127659573</v>
      </c>
      <c r="E13" s="85">
        <f>('Main Financials'!G23-'Main Financials'!G29)/'Main Financials'!G11</f>
        <v>0.15535542669560615</v>
      </c>
      <c r="F13" s="85">
        <f>('Main Financials'!H23-'Main Financials'!H29)/'Main Financials'!H11</f>
        <v>0.17649868421656909</v>
      </c>
      <c r="G13" s="85">
        <f>('Main Financials'!I23-'Main Financials'!I29)/'Main Financials'!I11</f>
        <v>0.17130983472177214</v>
      </c>
      <c r="H13" s="85">
        <f>('Main Financials'!J23-'Main Financials'!J29)/'Main Financials'!J11</f>
        <v>0.17019322656509459</v>
      </c>
      <c r="I13" s="77"/>
      <c r="J13" s="78">
        <f t="shared" si="0"/>
        <v>0.17291627858483907</v>
      </c>
      <c r="K13" s="78">
        <f t="shared" si="1"/>
        <v>0.17075153064343335</v>
      </c>
    </row>
    <row r="14" spans="2:12" ht="14.4">
      <c r="B14" s="63" t="s">
        <v>125</v>
      </c>
      <c r="C14" s="85">
        <f>'Main Financials'!E33</f>
        <v>0.21957156767283351</v>
      </c>
      <c r="D14" s="85">
        <f>'Main Financials'!F33</f>
        <v>0.16602049851090661</v>
      </c>
      <c r="E14" s="85">
        <f>'Main Financials'!G33</f>
        <v>0.18230803287008543</v>
      </c>
      <c r="F14" s="85">
        <f>'Main Financials'!H33</f>
        <v>0.19451090975057522</v>
      </c>
      <c r="G14" s="85">
        <f>'Main Financials'!I33</f>
        <v>0.19214213546333186</v>
      </c>
      <c r="H14" s="85">
        <f>'Main Financials'!J33</f>
        <v>0.18995980941666044</v>
      </c>
      <c r="I14" s="77"/>
      <c r="J14" s="78">
        <f t="shared" si="0"/>
        <v>0.19075215894739883</v>
      </c>
      <c r="K14" s="78">
        <f t="shared" si="1"/>
        <v>0.19105097243999614</v>
      </c>
    </row>
    <row r="15" spans="2:12" ht="14.4">
      <c r="B15" s="64" t="s">
        <v>126</v>
      </c>
      <c r="C15" s="67">
        <f>'Main Financials'!E39</f>
        <v>0.17144559577962185</v>
      </c>
      <c r="D15" s="67">
        <f>'Main Financials'!F39</f>
        <v>0.12380268841726812</v>
      </c>
      <c r="E15" s="67">
        <f>'Main Financials'!G39</f>
        <v>0.14378502704979104</v>
      </c>
      <c r="F15" s="67">
        <f>'Main Financials'!H39</f>
        <v>0.14407024859810511</v>
      </c>
      <c r="G15" s="67">
        <f>'Main Financials'!I39</f>
        <v>0.14510170234668396</v>
      </c>
      <c r="H15" s="67">
        <f>'Main Financials'!J39</f>
        <v>0.14161589188529755</v>
      </c>
      <c r="I15" s="79"/>
      <c r="J15" s="80">
        <f t="shared" si="0"/>
        <v>0.14497019234612793</v>
      </c>
      <c r="K15" s="80">
        <f t="shared" si="1"/>
        <v>0.14392763782394807</v>
      </c>
    </row>
    <row r="16" spans="2:12" ht="14.4">
      <c r="B16" s="55"/>
      <c r="J16" s="73"/>
      <c r="K16" s="73"/>
    </row>
    <row r="17" spans="2:11" ht="14.4">
      <c r="B17" s="62" t="s">
        <v>127</v>
      </c>
      <c r="C17" s="65">
        <f>'Main Financials'!E21</f>
        <v>0.14076646950253602</v>
      </c>
      <c r="D17" s="65">
        <f>'Main Financials'!F21</f>
        <v>0.17675270317404954</v>
      </c>
      <c r="E17" s="65">
        <f>'Main Financials'!G21</f>
        <v>0.16660727590786875</v>
      </c>
      <c r="F17" s="65">
        <f>'Main Financials'!H21</f>
        <v>0.12070762970685356</v>
      </c>
      <c r="G17" s="65">
        <f>'Main Financials'!I21</f>
        <v>0.15858322054253962</v>
      </c>
      <c r="H17" s="65">
        <f>'Main Financials'!J21</f>
        <v>0.14975228232359858</v>
      </c>
      <c r="I17" s="75"/>
      <c r="J17" s="76">
        <f t="shared" si="0"/>
        <v>0.15219493019290767</v>
      </c>
      <c r="K17" s="76">
        <f t="shared" si="1"/>
        <v>0.1541677514330691</v>
      </c>
    </row>
    <row r="18" spans="2:11" ht="14.4">
      <c r="B18" s="63" t="s">
        <v>128</v>
      </c>
      <c r="C18" s="66">
        <f>'Main Financials'!E30</f>
        <v>2.6268366056765829E-2</v>
      </c>
      <c r="D18" s="66">
        <f>'Main Financials'!F30</f>
        <v>3.0036757800971266E-2</v>
      </c>
      <c r="E18" s="66">
        <f>'Main Financials'!G30</f>
        <v>2.7994644033388406E-2</v>
      </c>
      <c r="F18" s="66">
        <f>'Main Financials'!H30</f>
        <v>3.4109331728980764E-2</v>
      </c>
      <c r="G18" s="66">
        <f>'Main Financials'!I30</f>
        <v>3.1793659568789677E-2</v>
      </c>
      <c r="H18" s="66">
        <f>'Main Financials'!J30</f>
        <v>3.3423248185323995E-2</v>
      </c>
      <c r="I18" s="77"/>
      <c r="J18" s="78">
        <f t="shared" si="0"/>
        <v>3.0604334562369991E-2</v>
      </c>
      <c r="K18" s="78">
        <f t="shared" si="1"/>
        <v>3.0915208684880471E-2</v>
      </c>
    </row>
    <row r="19" spans="2:11" ht="14.4">
      <c r="B19" s="64" t="s">
        <v>129</v>
      </c>
      <c r="C19" s="67">
        <f>C13</f>
        <v>0.22052347803339689</v>
      </c>
      <c r="D19" s="67">
        <f t="shared" ref="D19:H19" si="2">D13</f>
        <v>0.14361702127659573</v>
      </c>
      <c r="E19" s="67">
        <f t="shared" si="2"/>
        <v>0.15535542669560615</v>
      </c>
      <c r="F19" s="67">
        <f t="shared" si="2"/>
        <v>0.17649868421656909</v>
      </c>
      <c r="G19" s="67">
        <f t="shared" si="2"/>
        <v>0.17130983472177214</v>
      </c>
      <c r="H19" s="67">
        <f t="shared" si="2"/>
        <v>0.17019322656509459</v>
      </c>
      <c r="I19" s="79"/>
      <c r="J19" s="80">
        <f t="shared" si="0"/>
        <v>0.17291627858483907</v>
      </c>
      <c r="K19" s="80">
        <f t="shared" si="1"/>
        <v>0.17075153064343335</v>
      </c>
    </row>
    <row r="20" spans="2:11" ht="14.4">
      <c r="B20" s="55"/>
      <c r="J20" s="73"/>
      <c r="K20" s="73"/>
    </row>
    <row r="21" spans="2:11" ht="14.4">
      <c r="B21" s="62" t="s">
        <v>130</v>
      </c>
      <c r="C21" s="65">
        <f>('Main Financials'!E23-'Main Financials'!E29)/(SUM('Main Financials'!E53:E54)+'Main Financials'!E55)</f>
        <v>0.32965815400992859</v>
      </c>
      <c r="D21" s="65">
        <f>('Main Financials'!F23-'Main Financials'!F29)/(SUM('Main Financials'!F53:F54)+'Main Financials'!F55)</f>
        <v>0.16306309736872168</v>
      </c>
      <c r="E21" s="65">
        <f>('Main Financials'!G23-'Main Financials'!G29)/(SUM('Main Financials'!G53:G54)+'Main Financials'!G55)</f>
        <v>0.15402650793310924</v>
      </c>
      <c r="F21" s="65">
        <f>('Main Financials'!H23-'Main Financials'!H29)/(SUM('Main Financials'!H53:H54)+'Main Financials'!H55)</f>
        <v>0.16643136779379145</v>
      </c>
      <c r="G21" s="65">
        <f>('Main Financials'!I23-'Main Financials'!I29)/(SUM('Main Financials'!I53:I54)+'Main Financials'!I55)</f>
        <v>0.16111415898423356</v>
      </c>
      <c r="H21" s="65">
        <f>('Main Financials'!J23-'Main Financials'!J29)/(SUM('Main Financials'!J53:J54)+'Main Financials'!J55)</f>
        <v>0.14918284054251552</v>
      </c>
      <c r="I21" s="75"/>
      <c r="J21" s="76">
        <f t="shared" si="0"/>
        <v>0.18724602110538333</v>
      </c>
      <c r="K21" s="76">
        <f t="shared" si="1"/>
        <v>0.16208862817647762</v>
      </c>
    </row>
    <row r="22" spans="2:11" ht="14.4">
      <c r="B22" s="63" t="s">
        <v>131</v>
      </c>
      <c r="C22" s="66">
        <f>'Main Financials'!E49</f>
        <v>0.95664151903026196</v>
      </c>
      <c r="D22" s="66">
        <f>'Main Financials'!F49</f>
        <v>0.94457387441079266</v>
      </c>
      <c r="E22" s="66">
        <f>'Main Financials'!G49</f>
        <v>0.91491119372160268</v>
      </c>
      <c r="F22" s="66">
        <f>'Main Financials'!H49</f>
        <v>0.91332483264265218</v>
      </c>
      <c r="G22" s="66">
        <f>'Main Financials'!I49</f>
        <v>0.90472436806978818</v>
      </c>
      <c r="H22" s="66">
        <f>'Main Financials'!J49</f>
        <v>0.90239291696578128</v>
      </c>
      <c r="I22" s="77"/>
      <c r="J22" s="78">
        <f t="shared" si="0"/>
        <v>0.92276145080681315</v>
      </c>
      <c r="K22" s="78">
        <f t="shared" si="1"/>
        <v>0.91411801318212738</v>
      </c>
    </row>
    <row r="23" spans="2:11" ht="14.4">
      <c r="B23" s="63" t="s">
        <v>132</v>
      </c>
      <c r="C23" s="66">
        <f>'Main Financials'!E38/(SUM('Main Financials'!E53:E54))</f>
        <v>0.26615077440241858</v>
      </c>
      <c r="D23" s="66">
        <f>'Main Financials'!F38/(SUM('Main Financials'!F53:F54))</f>
        <v>0.15351792858509319</v>
      </c>
      <c r="E23" s="66">
        <f>'Main Financials'!G38/(SUM('Main Financials'!G53:G54))</f>
        <v>0.15259831420434686</v>
      </c>
      <c r="F23" s="66">
        <f>'Main Financials'!H38/(SUM('Main Financials'!H53:H54))</f>
        <v>0.15190841912583652</v>
      </c>
      <c r="G23" s="66">
        <f>'Main Financials'!I38/(SUM('Main Financials'!I53:I54))</f>
        <v>0.15427334489971301</v>
      </c>
      <c r="H23" s="66">
        <f>'Main Financials'!J38/(SUM('Main Financials'!J53:J54))</f>
        <v>0.13823284245623782</v>
      </c>
      <c r="I23" s="77"/>
      <c r="J23" s="78">
        <f t="shared" si="0"/>
        <v>0.169446937278941</v>
      </c>
      <c r="K23" s="78">
        <f t="shared" si="1"/>
        <v>0.15305812139472003</v>
      </c>
    </row>
    <row r="24" spans="2:11" ht="14.4">
      <c r="B24" s="63" t="s">
        <v>133</v>
      </c>
      <c r="C24" s="66">
        <f>C22*C23</f>
        <v>0.25461088111541025</v>
      </c>
      <c r="D24" s="66">
        <f t="shared" ref="D24:H24" si="3">D22*D23</f>
        <v>0.14500902459514087</v>
      </c>
      <c r="E24" s="66">
        <f t="shared" si="3"/>
        <v>0.13961390580860319</v>
      </c>
      <c r="F24" s="66">
        <f t="shared" si="3"/>
        <v>0.13874173147511451</v>
      </c>
      <c r="G24" s="66">
        <f t="shared" si="3"/>
        <v>0.13957485447440532</v>
      </c>
      <c r="H24" s="66">
        <f t="shared" si="3"/>
        <v>0.12474033792455574</v>
      </c>
      <c r="I24" s="77"/>
      <c r="J24" s="78">
        <f t="shared" si="0"/>
        <v>0.15704845589887165</v>
      </c>
      <c r="K24" s="78">
        <f t="shared" si="1"/>
        <v>0.13959438014150427</v>
      </c>
    </row>
    <row r="25" spans="2:11" ht="14.4">
      <c r="B25" s="55"/>
      <c r="J25" s="73"/>
      <c r="K25" s="73"/>
    </row>
    <row r="26" spans="2:11" ht="14.4">
      <c r="B26" s="62" t="s">
        <v>134</v>
      </c>
      <c r="C26" s="69">
        <f>'Main Financials'!E11/'Main Financials'!E65</f>
        <v>5.0604155175583747</v>
      </c>
      <c r="D26" s="69">
        <f>'Main Financials'!F11/'Main Financials'!F65</f>
        <v>3.7763817822584733</v>
      </c>
      <c r="E26" s="69">
        <f>'Main Financials'!G11/'Main Financials'!G65</f>
        <v>4.443181000359842</v>
      </c>
      <c r="F26" s="69">
        <f>'Main Financials'!H11/'Main Financials'!H65</f>
        <v>4.8047354252173529</v>
      </c>
      <c r="G26" s="69">
        <f>'Main Financials'!I11/'Main Financials'!I65</f>
        <v>4.8567698688986001</v>
      </c>
      <c r="H26" s="69">
        <f>'Main Financials'!J11/'Main Financials'!J65</f>
        <v>4.5781528771118731</v>
      </c>
      <c r="I26" s="75"/>
      <c r="J26" s="82">
        <f t="shared" si="0"/>
        <v>4.586606078567419</v>
      </c>
      <c r="K26" s="82">
        <f t="shared" si="1"/>
        <v>4.691444151164613</v>
      </c>
    </row>
    <row r="27" spans="2:11" ht="14.4">
      <c r="B27" s="63" t="s">
        <v>135</v>
      </c>
      <c r="C27" s="70">
        <f>'Main Financials'!E11/'Main Financials'!E59</f>
        <v>4.4484742694595294</v>
      </c>
      <c r="D27" s="70">
        <f>'Main Financials'!F11/'Main Financials'!F59</f>
        <v>3.4807499241203801</v>
      </c>
      <c r="E27" s="70">
        <f>'Main Financials'!G11/'Main Financials'!G59</f>
        <v>3.8085583269930705</v>
      </c>
      <c r="F27" s="70">
        <f>'Main Financials'!H11/'Main Financials'!H59</f>
        <v>2.806157692605098</v>
      </c>
      <c r="G27" s="70">
        <f>'Main Financials'!I11/'Main Financials'!I59</f>
        <v>2.6710354800602873</v>
      </c>
      <c r="H27" s="70">
        <f>'Main Financials'!J11/'Main Financials'!J59</f>
        <v>2.82627309383111</v>
      </c>
      <c r="I27" s="77"/>
      <c r="J27" s="74">
        <f t="shared" si="0"/>
        <v>3.3402081311782457</v>
      </c>
      <c r="K27" s="74">
        <f t="shared" si="1"/>
        <v>3.1535115089757451</v>
      </c>
    </row>
    <row r="28" spans="2:11" ht="14.4">
      <c r="B28" s="64" t="s">
        <v>136</v>
      </c>
      <c r="C28" s="68">
        <f>'Main Financials'!E11/SUM('Main Financials'!E53:E54)</f>
        <v>1.5523920179584656</v>
      </c>
      <c r="D28" s="68">
        <f>'Main Financials'!F11/SUM('Main Financials'!F53:F54)</f>
        <v>1.2400209603500045</v>
      </c>
      <c r="E28" s="68">
        <f>'Main Financials'!G11/SUM('Main Financials'!G53:G54)</f>
        <v>1.0612948881770832</v>
      </c>
      <c r="F28" s="68">
        <f>'Main Financials'!H11/SUM('Main Financials'!H53:H54)</f>
        <v>1.0544051988804199</v>
      </c>
      <c r="G28" s="68">
        <f>'Main Financials'!I11/SUM('Main Financials'!I53:I54)</f>
        <v>1.0632083731941042</v>
      </c>
      <c r="H28" s="68">
        <f>'Main Financials'!J11/SUM('Main Financials'!J53:J54)</f>
        <v>0.97611108905913013</v>
      </c>
      <c r="I28" s="79"/>
      <c r="J28" s="81">
        <f t="shared" si="0"/>
        <v>1.1579054212698681</v>
      </c>
      <c r="K28" s="81">
        <f t="shared" si="1"/>
        <v>1.0622516306855938</v>
      </c>
    </row>
    <row r="29" spans="2:11" ht="14.4">
      <c r="B29" s="55"/>
      <c r="J29" s="73"/>
      <c r="K29" s="73"/>
    </row>
    <row r="30" spans="2:11" ht="14.4">
      <c r="B30" s="62" t="s">
        <v>54</v>
      </c>
      <c r="C30" s="71">
        <f t="shared" ref="C30:H30" si="4">365/C26</f>
        <v>72.128464299728236</v>
      </c>
      <c r="D30" s="71">
        <f t="shared" si="4"/>
        <v>96.653363204636307</v>
      </c>
      <c r="E30" s="71">
        <f t="shared" si="4"/>
        <v>82.148352716317333</v>
      </c>
      <c r="F30" s="71">
        <f t="shared" si="4"/>
        <v>75.966721931101631</v>
      </c>
      <c r="G30" s="71">
        <f t="shared" si="4"/>
        <v>75.152829936900702</v>
      </c>
      <c r="H30" s="71">
        <f t="shared" si="4"/>
        <v>79.726476986993973</v>
      </c>
      <c r="I30" s="75"/>
      <c r="J30" s="83">
        <f t="shared" si="0"/>
        <v>80.296034845946366</v>
      </c>
      <c r="K30" s="83">
        <f t="shared" si="1"/>
        <v>77.846599459047809</v>
      </c>
    </row>
    <row r="31" spans="2:11" ht="14.4">
      <c r="B31" s="55"/>
      <c r="J31" s="73"/>
      <c r="K31" s="73"/>
    </row>
    <row r="32" spans="2:11" ht="14.4">
      <c r="B32" s="62" t="s">
        <v>137</v>
      </c>
      <c r="C32" s="65">
        <f>'Main Financials'!E85/'Main Financials'!E11</f>
        <v>0.13007019430597741</v>
      </c>
      <c r="D32" s="65">
        <f>'Main Financials'!F85/'Main Financials'!F11</f>
        <v>6.6405516353196858E-2</v>
      </c>
      <c r="E32" s="65">
        <f>'Main Financials'!G85/'Main Financials'!G11</f>
        <v>0.1279600894100878</v>
      </c>
      <c r="F32" s="65">
        <f>'Main Financials'!H85/'Main Financials'!H11</f>
        <v>0.10563008344776594</v>
      </c>
      <c r="G32" s="65">
        <f>'Main Financials'!I85/'Main Financials'!I11</f>
        <v>7.8921783556055433E-2</v>
      </c>
      <c r="H32" s="65">
        <f>'Main Financials'!J85/'Main Financials'!J11</f>
        <v>0.15520478220499231</v>
      </c>
      <c r="I32" s="75"/>
      <c r="J32" s="76">
        <f t="shared" si="0"/>
        <v>0.11069874154634596</v>
      </c>
      <c r="K32" s="76">
        <f t="shared" si="1"/>
        <v>0.11679508642892686</v>
      </c>
    </row>
    <row r="33" spans="2:11" ht="14.4">
      <c r="B33" s="63" t="s">
        <v>138</v>
      </c>
      <c r="C33" s="66">
        <f>'Main Financials'!E85/'Main Financials'!E70</f>
        <v>0.14576309832087425</v>
      </c>
      <c r="D33" s="66">
        <f>'Main Financials'!F85/'Main Financials'!F70</f>
        <v>6.0504201680672269E-2</v>
      </c>
      <c r="E33" s="66">
        <f>'Main Financials'!G85/'Main Financials'!G70</f>
        <v>0.1081999096051388</v>
      </c>
      <c r="F33" s="66">
        <f>'Main Financials'!H85/'Main Financials'!H70</f>
        <v>8.5790164717116257E-2</v>
      </c>
      <c r="G33" s="66">
        <f>'Main Financials'!I85/'Main Financials'!I70</f>
        <v>6.3895988443160356E-2</v>
      </c>
      <c r="H33" s="66">
        <f>'Main Financials'!J85/'Main Financials'!J70</f>
        <v>0.11878178644694631</v>
      </c>
      <c r="I33" s="77"/>
      <c r="J33" s="78">
        <f t="shared" si="0"/>
        <v>9.7155858202318049E-2</v>
      </c>
      <c r="K33" s="78">
        <f t="shared" si="1"/>
        <v>9.6995037161127534E-2</v>
      </c>
    </row>
    <row r="34" spans="2:11" ht="14.4">
      <c r="B34" s="64" t="s">
        <v>139</v>
      </c>
      <c r="C34" s="72">
        <f>'Main Financials'!E85/'Main Financials'!E55</f>
        <v>5.2492668621700878</v>
      </c>
      <c r="D34" s="72">
        <f>'Main Financials'!F85/'Main Financials'!F55</f>
        <v>0.89366311608593607</v>
      </c>
      <c r="E34" s="72">
        <f>'Main Financials'!G85/'Main Financials'!G55</f>
        <v>1.9276128507523382</v>
      </c>
      <c r="F34" s="72">
        <f>'Main Financials'!H85/'Main Financials'!H55</f>
        <v>0.94239121527493241</v>
      </c>
      <c r="G34" s="72">
        <f>'Main Financials'!I85/'Main Financials'!I55</f>
        <v>0.64303687366033979</v>
      </c>
      <c r="H34" s="72">
        <f>'Main Financials'!J85/'Main Financials'!J55</f>
        <v>1.3337992894169726</v>
      </c>
      <c r="I34" s="79"/>
      <c r="J34" s="80">
        <f t="shared" si="0"/>
        <v>1.8316283678934344</v>
      </c>
      <c r="K34" s="80">
        <f t="shared" si="1"/>
        <v>1.1380952523459524</v>
      </c>
    </row>
  </sheetData>
  <mergeCells count="1">
    <mergeCell ref="B3:K3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73689D39-A53B-4283-ACC2-87EEFE080C93}">
          <x14:colorSeries rgb="FF376092"/>
          <x14:colorNegative rgb="FFD00000"/>
          <x14:colorAxis rgb="FF000000"/>
          <x14:colorMarkers theme="8" tint="-0.249977111117893"/>
          <x14:colorFirst rgb="FFD00000"/>
          <x14:colorLast rgb="FFD00000"/>
          <x14:colorHigh rgb="FFD00000"/>
          <x14:colorLow rgb="FFD00000"/>
          <x14:sparklines>
            <x14:sparkline>
              <xm:f>'Ratio Analysis'!C6:H6</xm:f>
              <xm:sqref>I6</xm:sqref>
            </x14:sparkline>
            <x14:sparkline>
              <xm:f>'Ratio Analysis'!C7:H7</xm:f>
              <xm:sqref>I7</xm:sqref>
            </x14:sparkline>
            <x14:sparkline>
              <xm:f>'Ratio Analysis'!C8:H8</xm:f>
              <xm:sqref>I8</xm:sqref>
            </x14:sparkline>
            <x14:sparkline>
              <xm:f>'Ratio Analysis'!C9:H9</xm:f>
              <xm:sqref>I9</xm:sqref>
            </x14:sparkline>
            <x14:sparkline>
              <xm:f>'Ratio Analysis'!C10:H10</xm:f>
              <xm:sqref>I10</xm:sqref>
            </x14:sparkline>
            <x14:sparkline>
              <xm:f>'Ratio Analysis'!C11:H11</xm:f>
              <xm:sqref>I11</xm:sqref>
            </x14:sparkline>
            <x14:sparkline>
              <xm:f>'Ratio Analysis'!C12:H12</xm:f>
              <xm:sqref>I12</xm:sqref>
            </x14:sparkline>
            <x14:sparkline>
              <xm:f>'Ratio Analysis'!C13:H13</xm:f>
              <xm:sqref>I13</xm:sqref>
            </x14:sparkline>
            <x14:sparkline>
              <xm:f>'Ratio Analysis'!C14:H14</xm:f>
              <xm:sqref>I14</xm:sqref>
            </x14:sparkline>
            <x14:sparkline>
              <xm:f>'Ratio Analysis'!C15:H15</xm:f>
              <xm:sqref>I15</xm:sqref>
            </x14:sparkline>
            <x14:sparkline>
              <xm:f>'Ratio Analysis'!C16:H16</xm:f>
              <xm:sqref>I16</xm:sqref>
            </x14:sparkline>
            <x14:sparkline>
              <xm:f>'Ratio Analysis'!C17:H17</xm:f>
              <xm:sqref>I17</xm:sqref>
            </x14:sparkline>
            <x14:sparkline>
              <xm:f>'Ratio Analysis'!C18:H18</xm:f>
              <xm:sqref>I18</xm:sqref>
            </x14:sparkline>
            <x14:sparkline>
              <xm:f>'Ratio Analysis'!C19:H19</xm:f>
              <xm:sqref>I19</xm:sqref>
            </x14:sparkline>
            <x14:sparkline>
              <xm:f>'Ratio Analysis'!C20:H20</xm:f>
              <xm:sqref>I20</xm:sqref>
            </x14:sparkline>
            <x14:sparkline>
              <xm:f>'Ratio Analysis'!C21:H21</xm:f>
              <xm:sqref>I21</xm:sqref>
            </x14:sparkline>
            <x14:sparkline>
              <xm:f>'Ratio Analysis'!C22:H22</xm:f>
              <xm:sqref>I22</xm:sqref>
            </x14:sparkline>
            <x14:sparkline>
              <xm:f>'Ratio Analysis'!C23:H23</xm:f>
              <xm:sqref>I23</xm:sqref>
            </x14:sparkline>
            <x14:sparkline>
              <xm:f>'Ratio Analysis'!C24:H24</xm:f>
              <xm:sqref>I24</xm:sqref>
            </x14:sparkline>
            <x14:sparkline>
              <xm:f>'Ratio Analysis'!C25:H25</xm:f>
              <xm:sqref>I25</xm:sqref>
            </x14:sparkline>
            <x14:sparkline>
              <xm:f>'Ratio Analysis'!C26:H26</xm:f>
              <xm:sqref>I26</xm:sqref>
            </x14:sparkline>
            <x14:sparkline>
              <xm:f>'Ratio Analysis'!C27:H27</xm:f>
              <xm:sqref>I27</xm:sqref>
            </x14:sparkline>
            <x14:sparkline>
              <xm:f>'Ratio Analysis'!C28:H28</xm:f>
              <xm:sqref>I28</xm:sqref>
            </x14:sparkline>
            <x14:sparkline>
              <xm:f>'Ratio Analysis'!C29:H29</xm:f>
              <xm:sqref>I29</xm:sqref>
            </x14:sparkline>
            <x14:sparkline>
              <xm:f>'Ratio Analysis'!C30:H30</xm:f>
              <xm:sqref>I30</xm:sqref>
            </x14:sparkline>
            <x14:sparkline>
              <xm:f>'Ratio Analysis'!C31:H31</xm:f>
              <xm:sqref>I31</xm:sqref>
            </x14:sparkline>
            <x14:sparkline>
              <xm:f>'Ratio Analysis'!C32:H32</xm:f>
              <xm:sqref>I32</xm:sqref>
            </x14:sparkline>
            <x14:sparkline>
              <xm:f>'Ratio Analysis'!C33:H33</xm:f>
              <xm:sqref>I33</xm:sqref>
            </x14:sparkline>
            <x14:sparkline>
              <xm:f>'Ratio Analysis'!C34:H34</xm:f>
              <xm:sqref>I34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1ACA-AE87-4A79-9488-883394E6C22E}">
  <dimension ref="B4:K65"/>
  <sheetViews>
    <sheetView showGridLines="0" tabSelected="1" topLeftCell="A32" zoomScale="82" workbookViewId="0">
      <selection activeCell="M48" sqref="M48"/>
    </sheetView>
  </sheetViews>
  <sheetFormatPr defaultRowHeight="13.8"/>
  <cols>
    <col min="1" max="1" width="2" style="172" customWidth="1"/>
    <col min="2" max="2" width="25.75" style="172" bestFit="1" customWidth="1"/>
    <col min="3" max="4" width="9" style="172"/>
    <col min="5" max="5" width="9" style="172" bestFit="1" customWidth="1"/>
    <col min="6" max="7" width="9.75" style="172" bestFit="1" customWidth="1"/>
    <col min="8" max="8" width="15.25" style="172" bestFit="1" customWidth="1"/>
    <col min="9" max="9" width="10.875" style="172" bestFit="1" customWidth="1"/>
    <col min="10" max="10" width="10.25" style="172" bestFit="1" customWidth="1"/>
    <col min="11" max="16384" width="9" style="172"/>
  </cols>
  <sheetData>
    <row r="4" spans="2:9">
      <c r="B4" s="323" t="s">
        <v>275</v>
      </c>
      <c r="C4" s="324"/>
      <c r="D4" s="324"/>
      <c r="E4" s="325">
        <f>BS!J2</f>
        <v>44621</v>
      </c>
      <c r="F4" s="325">
        <f>BS!K2</f>
        <v>44986</v>
      </c>
      <c r="G4" s="325">
        <f>BS!L2</f>
        <v>45352</v>
      </c>
      <c r="H4" s="325">
        <f>BS!M2</f>
        <v>45717</v>
      </c>
      <c r="I4" s="325">
        <f>BS!N2</f>
        <v>46082</v>
      </c>
    </row>
    <row r="6" spans="2:9">
      <c r="B6" s="173" t="s">
        <v>276</v>
      </c>
    </row>
    <row r="7" spans="2:9">
      <c r="B7" s="174" t="str">
        <f>BS!B33</f>
        <v>Inventories</v>
      </c>
      <c r="C7" s="174"/>
      <c r="D7" s="174"/>
      <c r="E7" s="175">
        <f>BS!J33</f>
        <v>424</v>
      </c>
      <c r="F7" s="175">
        <f>BS!K33</f>
        <v>485</v>
      </c>
      <c r="G7" s="175">
        <f>BS!L33</f>
        <v>618</v>
      </c>
      <c r="H7" s="175">
        <f>BS!M33</f>
        <v>846</v>
      </c>
      <c r="I7" s="175">
        <f>BS!N33</f>
        <v>972</v>
      </c>
    </row>
    <row r="8" spans="2:9">
      <c r="B8" s="174" t="str">
        <f>BS!B34</f>
        <v>Trade receivables</v>
      </c>
      <c r="C8" s="174"/>
      <c r="D8" s="174"/>
      <c r="E8" s="175">
        <f>BS!J34</f>
        <v>395</v>
      </c>
      <c r="F8" s="175">
        <f>BS!K34</f>
        <v>417</v>
      </c>
      <c r="G8" s="175">
        <f>BS!L34</f>
        <v>453</v>
      </c>
      <c r="H8" s="175">
        <f>BS!M34</f>
        <v>540</v>
      </c>
      <c r="I8" s="175">
        <f>BS!N34</f>
        <v>645</v>
      </c>
    </row>
    <row r="9" spans="2:9">
      <c r="B9" s="174" t="str">
        <f>BS!B36</f>
        <v>Loans n Advances</v>
      </c>
      <c r="C9" s="174"/>
      <c r="D9" s="174"/>
      <c r="E9" s="175">
        <f>BS!J36</f>
        <v>21</v>
      </c>
      <c r="F9" s="175">
        <f>BS!K36</f>
        <v>29</v>
      </c>
      <c r="G9" s="175">
        <f>BS!L36</f>
        <v>38</v>
      </c>
      <c r="H9" s="175">
        <f>BS!M36</f>
        <v>55</v>
      </c>
      <c r="I9" s="175">
        <f>BS!N36</f>
        <v>65</v>
      </c>
    </row>
    <row r="10" spans="2:9" ht="14.4" thickBot="1">
      <c r="B10" s="172" t="str">
        <f>BS!B37</f>
        <v>Other asset items</v>
      </c>
      <c r="E10" s="176">
        <f>BS!J37</f>
        <v>15</v>
      </c>
      <c r="F10" s="176">
        <f>BS!K37</f>
        <v>48</v>
      </c>
      <c r="G10" s="176">
        <f>BS!L37</f>
        <v>86</v>
      </c>
      <c r="H10" s="176">
        <f>BS!M37</f>
        <v>85</v>
      </c>
      <c r="I10" s="176">
        <f>BS!N37</f>
        <v>81</v>
      </c>
    </row>
    <row r="11" spans="2:9">
      <c r="B11" s="177" t="s">
        <v>84</v>
      </c>
      <c r="C11" s="178"/>
      <c r="D11" s="178"/>
      <c r="E11" s="179">
        <f>SUM(E7:E10)</f>
        <v>855</v>
      </c>
      <c r="F11" s="179">
        <f t="shared" ref="F11:I11" si="0">SUM(F7:F10)</f>
        <v>979</v>
      </c>
      <c r="G11" s="179">
        <f t="shared" si="0"/>
        <v>1195</v>
      </c>
      <c r="H11" s="179">
        <f t="shared" si="0"/>
        <v>1526</v>
      </c>
      <c r="I11" s="179">
        <f t="shared" si="0"/>
        <v>1763</v>
      </c>
    </row>
    <row r="13" spans="2:9">
      <c r="B13" s="173" t="s">
        <v>277</v>
      </c>
    </row>
    <row r="14" spans="2:9">
      <c r="B14" s="174" t="str">
        <f>BS!B13</f>
        <v>Trade Payables</v>
      </c>
      <c r="C14" s="174"/>
      <c r="D14" s="174"/>
      <c r="E14" s="175">
        <f>BS!J13</f>
        <v>200</v>
      </c>
      <c r="F14" s="175">
        <f>BS!K13</f>
        <v>231</v>
      </c>
      <c r="G14" s="175">
        <f>BS!L13</f>
        <v>268</v>
      </c>
      <c r="H14" s="175">
        <f>BS!M13</f>
        <v>306</v>
      </c>
      <c r="I14" s="175">
        <f>BS!N13</f>
        <v>337</v>
      </c>
    </row>
    <row r="15" spans="2:9">
      <c r="B15" s="174" t="str">
        <f>BS!B14</f>
        <v>Advance from Customers</v>
      </c>
      <c r="C15" s="174"/>
      <c r="D15" s="174"/>
      <c r="E15" s="175">
        <f>BS!J14</f>
        <v>2</v>
      </c>
      <c r="F15" s="175">
        <f>BS!K14</f>
        <v>1</v>
      </c>
      <c r="G15" s="175">
        <f>BS!L14</f>
        <v>2</v>
      </c>
      <c r="H15" s="175">
        <f>BS!M14</f>
        <v>1</v>
      </c>
      <c r="I15" s="175">
        <f>BS!N14</f>
        <v>2</v>
      </c>
    </row>
    <row r="16" spans="2:9" ht="14.4" thickBot="1">
      <c r="B16" s="174" t="str">
        <f>BS!B15</f>
        <v>Other liability items</v>
      </c>
      <c r="C16" s="174"/>
      <c r="D16" s="174"/>
      <c r="E16" s="175">
        <f>BS!J15</f>
        <v>101</v>
      </c>
      <c r="F16" s="175">
        <f>BS!K15</f>
        <v>71</v>
      </c>
      <c r="G16" s="175">
        <f>BS!L15</f>
        <v>81</v>
      </c>
      <c r="H16" s="175">
        <f>BS!M15</f>
        <v>121</v>
      </c>
      <c r="I16" s="175">
        <f>BS!N15</f>
        <v>121</v>
      </c>
    </row>
    <row r="17" spans="2:11">
      <c r="B17" s="346" t="s">
        <v>381</v>
      </c>
      <c r="C17" s="178"/>
      <c r="D17" s="178"/>
      <c r="E17" s="179">
        <f>SUM(E14:E16)</f>
        <v>303</v>
      </c>
      <c r="F17" s="179">
        <f>SUM(F14:F16)</f>
        <v>303</v>
      </c>
      <c r="G17" s="179">
        <f>SUM(G14:G16)</f>
        <v>351</v>
      </c>
      <c r="H17" s="179">
        <f>SUM(H14:H16)</f>
        <v>428</v>
      </c>
      <c r="I17" s="179">
        <f>SUM(I14:I16)</f>
        <v>460</v>
      </c>
    </row>
    <row r="19" spans="2:11">
      <c r="B19" s="173" t="s">
        <v>278</v>
      </c>
      <c r="C19" s="173"/>
      <c r="D19" s="173"/>
      <c r="E19" s="180">
        <f>E11-E17</f>
        <v>552</v>
      </c>
      <c r="F19" s="180">
        <f t="shared" ref="F19:I19" si="1">F11-F17</f>
        <v>676</v>
      </c>
      <c r="G19" s="180">
        <f t="shared" si="1"/>
        <v>844</v>
      </c>
      <c r="H19" s="180">
        <f t="shared" si="1"/>
        <v>1098</v>
      </c>
      <c r="I19" s="180">
        <f t="shared" si="1"/>
        <v>1303</v>
      </c>
      <c r="J19" s="181"/>
    </row>
    <row r="20" spans="2:11">
      <c r="J20" s="181"/>
    </row>
    <row r="21" spans="2:11" ht="14.4">
      <c r="B21" s="161" t="s">
        <v>279</v>
      </c>
      <c r="C21" s="182"/>
      <c r="D21" s="182"/>
      <c r="E21" s="182"/>
      <c r="F21" s="182"/>
      <c r="G21" s="182"/>
      <c r="H21" s="182"/>
      <c r="I21" s="182"/>
      <c r="J21" s="183"/>
      <c r="K21" s="181"/>
    </row>
    <row r="22" spans="2:11" ht="14.4">
      <c r="B22" s="182" t="s">
        <v>254</v>
      </c>
      <c r="C22" s="182"/>
      <c r="D22" s="182"/>
      <c r="E22" s="184">
        <f>BS!J19</f>
        <v>1</v>
      </c>
      <c r="F22" s="184">
        <f>BS!K19</f>
        <v>1</v>
      </c>
      <c r="G22" s="184">
        <f>BS!L19</f>
        <v>23</v>
      </c>
      <c r="H22" s="184">
        <f>BS!M19</f>
        <v>23</v>
      </c>
      <c r="I22" s="184">
        <f>BS!N19</f>
        <v>23</v>
      </c>
      <c r="J22" s="181"/>
      <c r="K22" s="181"/>
    </row>
    <row r="23" spans="2:11" ht="14.4">
      <c r="B23" s="182" t="s">
        <v>255</v>
      </c>
      <c r="C23" s="182"/>
      <c r="D23" s="182"/>
      <c r="E23" s="184">
        <f>BS!J20</f>
        <v>226</v>
      </c>
      <c r="F23" s="184">
        <f>BS!K20</f>
        <v>270</v>
      </c>
      <c r="G23" s="184">
        <f>BS!L20</f>
        <v>483</v>
      </c>
      <c r="H23" s="184">
        <f>BS!M20</f>
        <v>625</v>
      </c>
      <c r="I23" s="184">
        <f>BS!N20</f>
        <v>692</v>
      </c>
      <c r="J23" s="181"/>
      <c r="K23" s="181"/>
    </row>
    <row r="24" spans="2:11" ht="14.4">
      <c r="B24" s="162" t="s">
        <v>256</v>
      </c>
      <c r="C24" s="182"/>
      <c r="D24" s="182"/>
      <c r="E24" s="184">
        <f>BS!J21</f>
        <v>287</v>
      </c>
      <c r="F24" s="184">
        <f>BS!K21</f>
        <v>307</v>
      </c>
      <c r="G24" s="184">
        <f>BS!L21</f>
        <v>421</v>
      </c>
      <c r="H24" s="184">
        <f>BS!M21</f>
        <v>531</v>
      </c>
      <c r="I24" s="184">
        <f>BS!N21</f>
        <v>604</v>
      </c>
      <c r="J24" s="181"/>
      <c r="K24" s="181"/>
    </row>
    <row r="25" spans="2:11" ht="14.4">
      <c r="B25" s="162" t="str">
        <f>BS!B23</f>
        <v>Computers</v>
      </c>
      <c r="C25" s="182"/>
      <c r="D25" s="182"/>
      <c r="E25" s="184">
        <f>BS!J23</f>
        <v>7</v>
      </c>
      <c r="F25" s="184">
        <f>BS!K23</f>
        <v>7</v>
      </c>
      <c r="G25" s="184">
        <f>BS!L23</f>
        <v>12</v>
      </c>
      <c r="H25" s="184">
        <f>BS!M23</f>
        <v>13</v>
      </c>
      <c r="I25" s="184">
        <f>BS!N23</f>
        <v>16</v>
      </c>
      <c r="J25" s="181"/>
      <c r="K25" s="181"/>
    </row>
    <row r="26" spans="2:11" ht="14.4">
      <c r="B26" s="162" t="s">
        <v>257</v>
      </c>
      <c r="C26" s="182"/>
      <c r="D26" s="182"/>
      <c r="E26" s="184">
        <f>BS!J22</f>
        <v>4</v>
      </c>
      <c r="F26" s="184">
        <f>BS!K22</f>
        <v>5</v>
      </c>
      <c r="G26" s="184">
        <f>BS!L22</f>
        <v>5</v>
      </c>
      <c r="H26" s="184">
        <f>BS!M22</f>
        <v>5</v>
      </c>
      <c r="I26" s="184">
        <f>BS!N22</f>
        <v>6</v>
      </c>
      <c r="J26" s="181"/>
      <c r="K26" s="181"/>
    </row>
    <row r="27" spans="2:11" ht="14.4">
      <c r="B27" s="162" t="s">
        <v>259</v>
      </c>
      <c r="C27" s="182"/>
      <c r="D27" s="182"/>
      <c r="E27" s="184">
        <f>BS!J24</f>
        <v>11</v>
      </c>
      <c r="F27" s="184">
        <f>BS!K24</f>
        <v>16</v>
      </c>
      <c r="G27" s="184">
        <f>BS!L24</f>
        <v>21</v>
      </c>
      <c r="H27" s="184">
        <f>BS!M24</f>
        <v>29</v>
      </c>
      <c r="I27" s="184">
        <f>BS!N24</f>
        <v>33</v>
      </c>
      <c r="J27" s="181"/>
      <c r="K27" s="181"/>
    </row>
    <row r="28" spans="2:11" ht="14.4">
      <c r="B28" s="182" t="s">
        <v>260</v>
      </c>
      <c r="C28" s="182"/>
      <c r="D28" s="182"/>
      <c r="E28" s="184">
        <f>BS!J25</f>
        <v>10</v>
      </c>
      <c r="F28" s="184">
        <f>BS!K25</f>
        <v>10</v>
      </c>
      <c r="G28" s="184">
        <f>BS!L25</f>
        <v>11</v>
      </c>
      <c r="H28" s="184">
        <f>BS!M25</f>
        <v>11</v>
      </c>
      <c r="I28" s="184">
        <f>BS!N25</f>
        <v>16</v>
      </c>
      <c r="J28" s="181"/>
      <c r="K28" s="181"/>
    </row>
    <row r="29" spans="2:11" ht="14.4">
      <c r="B29" s="162" t="s">
        <v>261</v>
      </c>
      <c r="C29" s="182"/>
      <c r="D29" s="182"/>
      <c r="E29" s="184">
        <f>BS!J26</f>
        <v>30</v>
      </c>
      <c r="F29" s="184">
        <f>BS!K26</f>
        <v>38</v>
      </c>
      <c r="G29" s="184">
        <f>BS!L26</f>
        <v>60</v>
      </c>
      <c r="H29" s="184">
        <f>BS!M26</f>
        <v>61</v>
      </c>
      <c r="I29" s="184">
        <f>BS!N26</f>
        <v>68</v>
      </c>
      <c r="J29" s="181"/>
      <c r="K29" s="181"/>
    </row>
    <row r="30" spans="2:11" ht="14.4">
      <c r="B30" s="162" t="s">
        <v>262</v>
      </c>
      <c r="C30" s="182"/>
      <c r="D30" s="182"/>
      <c r="E30" s="184">
        <f>BS!J27</f>
        <v>150</v>
      </c>
      <c r="F30" s="184">
        <f>BS!K27</f>
        <v>174</v>
      </c>
      <c r="G30" s="184">
        <f>BS!L27</f>
        <v>158</v>
      </c>
      <c r="H30" s="184">
        <f>BS!M27</f>
        <v>114</v>
      </c>
      <c r="I30" s="184">
        <f>BS!N27</f>
        <v>148</v>
      </c>
      <c r="J30" s="181"/>
      <c r="K30" s="181"/>
    </row>
    <row r="31" spans="2:11" ht="15" thickBot="1">
      <c r="B31" s="185"/>
      <c r="C31" s="185"/>
      <c r="D31" s="185"/>
      <c r="E31" s="185"/>
      <c r="F31" s="185"/>
      <c r="G31" s="185"/>
      <c r="H31" s="185"/>
      <c r="I31" s="185"/>
      <c r="J31" s="181"/>
      <c r="K31" s="181"/>
    </row>
    <row r="32" spans="2:11" ht="14.4">
      <c r="B32" s="136" t="s">
        <v>263</v>
      </c>
      <c r="C32" s="186"/>
      <c r="D32" s="186"/>
      <c r="E32" s="187">
        <f>SUM(E22:E31)</f>
        <v>726</v>
      </c>
      <c r="F32" s="187">
        <f t="shared" ref="F32:I32" si="2">SUM(F22:F31)</f>
        <v>828</v>
      </c>
      <c r="G32" s="187">
        <f t="shared" si="2"/>
        <v>1194</v>
      </c>
      <c r="H32" s="187">
        <f t="shared" si="2"/>
        <v>1412</v>
      </c>
      <c r="I32" s="187">
        <f t="shared" si="2"/>
        <v>1606</v>
      </c>
      <c r="J32" s="181"/>
      <c r="K32" s="181"/>
    </row>
    <row r="33" spans="2:11" ht="15" thickBot="1">
      <c r="B33" s="165" t="s">
        <v>264</v>
      </c>
      <c r="C33" s="185"/>
      <c r="D33" s="185"/>
      <c r="E33" s="188">
        <f>BS!J29</f>
        <v>298</v>
      </c>
      <c r="F33" s="188">
        <f>BS!K29</f>
        <v>342</v>
      </c>
      <c r="G33" s="188">
        <f>BS!L29</f>
        <v>418</v>
      </c>
      <c r="H33" s="188">
        <f>BS!M29</f>
        <v>431</v>
      </c>
      <c r="I33" s="188">
        <f>BS!N29</f>
        <v>561</v>
      </c>
      <c r="J33" s="181"/>
      <c r="K33" s="181"/>
    </row>
    <row r="34" spans="2:11" ht="15" thickBot="1">
      <c r="B34" s="166" t="s">
        <v>280</v>
      </c>
      <c r="C34" s="185"/>
      <c r="D34" s="185"/>
      <c r="E34" s="189">
        <f>E32-E33</f>
        <v>428</v>
      </c>
      <c r="F34" s="189">
        <f t="shared" ref="F34:I34" si="3">F32-F33</f>
        <v>486</v>
      </c>
      <c r="G34" s="189">
        <f t="shared" si="3"/>
        <v>776</v>
      </c>
      <c r="H34" s="189">
        <f t="shared" si="3"/>
        <v>981</v>
      </c>
      <c r="I34" s="189">
        <f t="shared" si="3"/>
        <v>1045</v>
      </c>
      <c r="J34" s="181"/>
      <c r="K34" s="181"/>
    </row>
    <row r="35" spans="2:11" ht="14.4">
      <c r="B35" s="186"/>
      <c r="C35" s="186"/>
      <c r="D35" s="186"/>
      <c r="E35" s="186"/>
      <c r="F35" s="186"/>
      <c r="G35" s="186"/>
      <c r="H35" s="186"/>
      <c r="I35" s="186"/>
      <c r="J35" s="181"/>
      <c r="K35" s="181"/>
    </row>
    <row r="36" spans="2:11" ht="14.4">
      <c r="B36" s="136" t="s">
        <v>281</v>
      </c>
      <c r="C36" s="186"/>
      <c r="D36" s="186"/>
      <c r="E36" s="187">
        <f>E34+E19</f>
        <v>980</v>
      </c>
      <c r="F36" s="187">
        <f t="shared" ref="F36:I36" si="4">F34+F19</f>
        <v>1162</v>
      </c>
      <c r="G36" s="187">
        <f t="shared" si="4"/>
        <v>1620</v>
      </c>
      <c r="H36" s="187">
        <f t="shared" si="4"/>
        <v>2079</v>
      </c>
      <c r="I36" s="187">
        <f t="shared" si="4"/>
        <v>2348</v>
      </c>
      <c r="J36" s="181"/>
      <c r="K36" s="181"/>
    </row>
    <row r="37" spans="2:11" ht="14.4">
      <c r="B37" s="100" t="s">
        <v>282</v>
      </c>
      <c r="C37" s="186"/>
      <c r="D37" s="186"/>
      <c r="E37" s="187">
        <f>('Main Financials'!F23-'Main Financials'!F29)</f>
        <v>214.10999999999999</v>
      </c>
      <c r="F37" s="187">
        <f>('Main Financials'!G23-'Main Financials'!G29)</f>
        <v>287.74</v>
      </c>
      <c r="G37" s="187">
        <f>('Main Financials'!H23-'Main Financials'!H29)</f>
        <v>384.30999999999966</v>
      </c>
      <c r="H37" s="187">
        <f>('Main Financials'!I23-'Main Financials'!I29)</f>
        <v>449.32000000000005</v>
      </c>
      <c r="I37" s="187">
        <f>('Main Financials'!J23-'Main Financials'!J29)</f>
        <v>502.23000000000025</v>
      </c>
      <c r="J37" s="181"/>
      <c r="K37" s="181"/>
    </row>
    <row r="38" spans="2:11" ht="15" thickBot="1">
      <c r="B38" s="185"/>
      <c r="C38" s="185"/>
      <c r="D38" s="185"/>
      <c r="E38" s="185"/>
      <c r="F38" s="185"/>
      <c r="G38" s="185"/>
      <c r="H38" s="185"/>
      <c r="I38" s="185"/>
      <c r="J38" s="183"/>
      <c r="K38" s="181"/>
    </row>
    <row r="39" spans="2:11" ht="15" thickBot="1">
      <c r="B39" s="92" t="s">
        <v>283</v>
      </c>
      <c r="C39" s="185"/>
      <c r="D39" s="185"/>
      <c r="E39" s="190">
        <f>E48/E36</f>
        <v>0.15293571428571426</v>
      </c>
      <c r="F39" s="190">
        <f t="shared" ref="F39:I39" si="5">F48/F36</f>
        <v>0.17333734939759038</v>
      </c>
      <c r="G39" s="190">
        <f t="shared" si="5"/>
        <v>0.16605987654320972</v>
      </c>
      <c r="H39" s="190">
        <f t="shared" si="5"/>
        <v>0.15128619528619527</v>
      </c>
      <c r="I39" s="190">
        <f t="shared" si="5"/>
        <v>0.14972785349233397</v>
      </c>
      <c r="J39" s="181"/>
      <c r="K39" s="181"/>
    </row>
    <row r="40" spans="2:11">
      <c r="J40" s="181"/>
      <c r="K40" s="181"/>
    </row>
    <row r="41" spans="2:11">
      <c r="B41" s="323" t="s">
        <v>284</v>
      </c>
      <c r="C41" s="324"/>
      <c r="D41" s="324"/>
      <c r="E41" s="325">
        <v>44621</v>
      </c>
      <c r="F41" s="325">
        <v>44986</v>
      </c>
      <c r="G41" s="325">
        <v>45352</v>
      </c>
      <c r="H41" s="325">
        <v>45717</v>
      </c>
      <c r="I41" s="325">
        <v>46082</v>
      </c>
    </row>
    <row r="42" spans="2:11" ht="14.4">
      <c r="B42" s="182"/>
      <c r="C42" s="182"/>
      <c r="D42" s="182"/>
      <c r="E42" s="182"/>
      <c r="F42" s="182"/>
      <c r="G42" s="182"/>
      <c r="H42" s="182"/>
      <c r="I42" s="182"/>
    </row>
    <row r="43" spans="2:11" ht="14.4">
      <c r="B43" s="162" t="s">
        <v>285</v>
      </c>
      <c r="C43" s="182"/>
      <c r="D43" s="182"/>
      <c r="E43" s="401">
        <f>-('Cash Flow'!J15+'Cash Flow'!J16)-'Main Financials'!F29</f>
        <v>1.2199999999999989</v>
      </c>
      <c r="F43" s="401">
        <f>-('Cash Flow'!K15+'Cash Flow'!K16)-'Main Financials'!G29</f>
        <v>2.1499999999999986</v>
      </c>
      <c r="G43" s="401">
        <f>-('Cash Flow'!L15+'Cash Flow'!L16)-'Main Financials'!H29</f>
        <v>133.73000000000002</v>
      </c>
      <c r="H43" s="401">
        <f>-('Cash Flow'!M15+'Cash Flow'!M16)-'Main Financials'!I29</f>
        <v>88.61</v>
      </c>
      <c r="I43" s="401">
        <f>-('Cash Flow'!N15+'Cash Flow'!N16)-'Main Financials'!J29</f>
        <v>31.370000000000005</v>
      </c>
    </row>
    <row r="44" spans="2:11" ht="14.4">
      <c r="B44" s="162" t="s">
        <v>286</v>
      </c>
      <c r="C44" s="182"/>
      <c r="D44" s="182"/>
      <c r="E44" s="182"/>
      <c r="F44" s="184">
        <f>F19-E19</f>
        <v>124</v>
      </c>
      <c r="G44" s="184">
        <f t="shared" ref="G44:I44" si="6">G19-F19</f>
        <v>168</v>
      </c>
      <c r="H44" s="184">
        <f t="shared" si="6"/>
        <v>254</v>
      </c>
      <c r="I44" s="184">
        <f t="shared" si="6"/>
        <v>205</v>
      </c>
    </row>
    <row r="45" spans="2:11" ht="14.4">
      <c r="B45" s="182"/>
      <c r="C45" s="182"/>
      <c r="D45" s="182"/>
      <c r="E45" s="182"/>
      <c r="F45" s="182"/>
      <c r="G45" s="182"/>
      <c r="H45" s="182"/>
      <c r="I45" s="182"/>
    </row>
    <row r="46" spans="2:11" ht="14.4">
      <c r="B46" s="182" t="s">
        <v>282</v>
      </c>
      <c r="C46" s="182"/>
      <c r="D46" s="182"/>
      <c r="E46" s="184">
        <f>E37</f>
        <v>214.10999999999999</v>
      </c>
      <c r="F46" s="184">
        <f t="shared" ref="F46:I46" si="7">F37</f>
        <v>287.74</v>
      </c>
      <c r="G46" s="184">
        <f t="shared" si="7"/>
        <v>384.30999999999966</v>
      </c>
      <c r="H46" s="184">
        <f t="shared" si="7"/>
        <v>449.32000000000005</v>
      </c>
      <c r="I46" s="184">
        <f t="shared" si="7"/>
        <v>502.23000000000025</v>
      </c>
    </row>
    <row r="47" spans="2:11" ht="14.4">
      <c r="B47" s="162" t="s">
        <v>287</v>
      </c>
      <c r="C47" s="182"/>
      <c r="D47" s="182"/>
      <c r="E47" s="191">
        <v>0.3</v>
      </c>
      <c r="F47" s="191">
        <v>0.3</v>
      </c>
      <c r="G47" s="191">
        <v>0.3</v>
      </c>
      <c r="H47" s="191">
        <v>0.3</v>
      </c>
      <c r="I47" s="191">
        <v>0.3</v>
      </c>
    </row>
    <row r="48" spans="2:11" ht="14.4">
      <c r="B48" s="182" t="s">
        <v>288</v>
      </c>
      <c r="C48" s="182"/>
      <c r="D48" s="182"/>
      <c r="E48" s="184">
        <f>E46*(1-E47)</f>
        <v>149.87699999999998</v>
      </c>
      <c r="F48" s="184">
        <f t="shared" ref="F48:I48" si="8">F46*(1-F47)</f>
        <v>201.41800000000001</v>
      </c>
      <c r="G48" s="184">
        <f t="shared" si="8"/>
        <v>269.01699999999977</v>
      </c>
      <c r="H48" s="184">
        <f t="shared" si="8"/>
        <v>314.524</v>
      </c>
      <c r="I48" s="184">
        <f t="shared" si="8"/>
        <v>351.56100000000015</v>
      </c>
    </row>
    <row r="49" spans="2:9" ht="14.4">
      <c r="B49" s="182"/>
      <c r="C49" s="182"/>
      <c r="D49" s="182"/>
      <c r="E49" s="182"/>
      <c r="F49" s="182"/>
      <c r="G49" s="182"/>
      <c r="H49" s="182"/>
      <c r="I49" s="182"/>
    </row>
    <row r="50" spans="2:9" ht="14.4">
      <c r="B50" s="162" t="s">
        <v>289</v>
      </c>
      <c r="C50" s="182"/>
      <c r="D50" s="182"/>
      <c r="E50" s="182"/>
      <c r="F50" s="401">
        <f>F43+F44</f>
        <v>126.15</v>
      </c>
      <c r="G50" s="401">
        <f t="shared" ref="G50:I50" si="9">G43+G44</f>
        <v>301.73</v>
      </c>
      <c r="H50" s="401">
        <f t="shared" si="9"/>
        <v>342.61</v>
      </c>
      <c r="I50" s="401">
        <f t="shared" si="9"/>
        <v>236.37</v>
      </c>
    </row>
    <row r="51" spans="2:9" ht="15" thickBot="1">
      <c r="B51" s="185"/>
      <c r="C51" s="185"/>
      <c r="D51" s="185"/>
      <c r="E51" s="185"/>
      <c r="F51" s="185"/>
      <c r="G51" s="185"/>
      <c r="H51" s="185"/>
      <c r="I51" s="185"/>
    </row>
    <row r="52" spans="2:9" ht="15" thickBot="1">
      <c r="B52" s="166" t="s">
        <v>290</v>
      </c>
      <c r="C52" s="185"/>
      <c r="D52" s="185"/>
      <c r="E52" s="185"/>
      <c r="F52" s="402">
        <f>F50/F48</f>
        <v>0.6263094658868622</v>
      </c>
      <c r="G52" s="402">
        <f t="shared" ref="G52:I52" si="10">G50/G48</f>
        <v>1.1216019805439814</v>
      </c>
      <c r="H52" s="402">
        <f t="shared" si="10"/>
        <v>1.089296842212359</v>
      </c>
      <c r="I52" s="402">
        <f t="shared" si="10"/>
        <v>0.67234420200192824</v>
      </c>
    </row>
    <row r="53" spans="2:9" ht="14.4">
      <c r="B53" s="186"/>
      <c r="C53" s="186"/>
      <c r="D53" s="186"/>
      <c r="E53" s="186"/>
      <c r="F53" s="186"/>
      <c r="G53" s="186"/>
      <c r="H53" s="186"/>
      <c r="I53" s="186"/>
    </row>
    <row r="54" spans="2:9" ht="14.4">
      <c r="B54" s="186"/>
      <c r="C54" s="186"/>
      <c r="D54" s="186"/>
      <c r="E54" s="186"/>
      <c r="F54" s="186"/>
      <c r="G54" s="186"/>
      <c r="H54" s="171" t="s">
        <v>291</v>
      </c>
      <c r="I54" s="403">
        <f>AVERAGE(F52:I52)</f>
        <v>0.87738812266128274</v>
      </c>
    </row>
    <row r="55" spans="2:9" ht="14.4">
      <c r="B55" s="186"/>
      <c r="C55" s="186"/>
      <c r="D55" s="186"/>
      <c r="E55" s="186"/>
      <c r="F55" s="186"/>
      <c r="G55" s="186"/>
      <c r="H55" s="171" t="s">
        <v>292</v>
      </c>
      <c r="I55" s="403">
        <f>MEDIAN(F52:I52)</f>
        <v>0.88082052210714368</v>
      </c>
    </row>
    <row r="56" spans="2:9" ht="14.4">
      <c r="B56" s="186"/>
      <c r="C56" s="186"/>
      <c r="D56" s="186"/>
      <c r="E56" s="186"/>
      <c r="F56" s="186"/>
      <c r="G56" s="186"/>
      <c r="H56" s="186"/>
      <c r="I56" s="186"/>
    </row>
    <row r="57" spans="2:9">
      <c r="B57" s="323" t="s">
        <v>293</v>
      </c>
      <c r="C57" s="324"/>
      <c r="D57" s="324"/>
      <c r="E57" s="325">
        <v>44621</v>
      </c>
      <c r="F57" s="325">
        <v>44986</v>
      </c>
      <c r="G57" s="325">
        <v>45352</v>
      </c>
      <c r="H57" s="325">
        <v>45717</v>
      </c>
      <c r="I57" s="325">
        <v>46082</v>
      </c>
    </row>
    <row r="58" spans="2:9" ht="14.4">
      <c r="B58" s="182"/>
      <c r="C58" s="182"/>
      <c r="D58" s="182"/>
      <c r="E58" s="182"/>
      <c r="F58" s="182"/>
      <c r="G58" s="182"/>
      <c r="H58" s="182"/>
      <c r="I58" s="182"/>
    </row>
    <row r="59" spans="2:9" ht="14.4">
      <c r="B59" s="162" t="s">
        <v>290</v>
      </c>
      <c r="C59" s="182"/>
      <c r="D59" s="182"/>
      <c r="E59" s="182"/>
      <c r="F59" s="404">
        <f>F52</f>
        <v>0.6263094658868622</v>
      </c>
      <c r="G59" s="404">
        <f t="shared" ref="G59:I59" si="11">G52</f>
        <v>1.1216019805439814</v>
      </c>
      <c r="H59" s="404">
        <f t="shared" si="11"/>
        <v>1.089296842212359</v>
      </c>
      <c r="I59" s="404">
        <f t="shared" si="11"/>
        <v>0.67234420200192824</v>
      </c>
    </row>
    <row r="60" spans="2:9" ht="14.4">
      <c r="B60" s="182" t="s">
        <v>283</v>
      </c>
      <c r="C60" s="182"/>
      <c r="D60" s="182"/>
      <c r="E60" s="182"/>
      <c r="F60" s="192">
        <f>F39</f>
        <v>0.17333734939759038</v>
      </c>
      <c r="G60" s="192">
        <f t="shared" ref="G60:I60" si="12">G39</f>
        <v>0.16605987654320972</v>
      </c>
      <c r="H60" s="192">
        <f t="shared" si="12"/>
        <v>0.15128619528619527</v>
      </c>
      <c r="I60" s="192">
        <f t="shared" si="12"/>
        <v>0.14972785349233397</v>
      </c>
    </row>
    <row r="61" spans="2:9" ht="15" thickBot="1">
      <c r="B61" s="185"/>
      <c r="C61" s="185"/>
      <c r="D61" s="185"/>
      <c r="E61" s="185"/>
      <c r="F61" s="405"/>
      <c r="G61" s="405"/>
      <c r="H61" s="405"/>
      <c r="I61" s="405"/>
    </row>
    <row r="62" spans="2:9" ht="15" thickBot="1">
      <c r="B62" s="166" t="s">
        <v>294</v>
      </c>
      <c r="C62" s="185"/>
      <c r="D62" s="185"/>
      <c r="E62" s="185"/>
      <c r="F62" s="402">
        <f>F59*F60</f>
        <v>0.10856282271944924</v>
      </c>
      <c r="G62" s="402">
        <f t="shared" ref="G62:I62" si="13">G59*G60</f>
        <v>0.18625308641975308</v>
      </c>
      <c r="H62" s="402">
        <f t="shared" si="13"/>
        <v>0.16479557479557477</v>
      </c>
      <c r="I62" s="402">
        <f t="shared" si="13"/>
        <v>0.10066865417376492</v>
      </c>
    </row>
    <row r="63" spans="2:9" ht="14.4">
      <c r="B63" s="186"/>
      <c r="C63" s="186"/>
      <c r="D63" s="186"/>
      <c r="E63" s="186"/>
      <c r="F63" s="186"/>
      <c r="G63" s="186"/>
      <c r="H63" s="186"/>
      <c r="I63" s="186"/>
    </row>
    <row r="64" spans="2:9" ht="14.4">
      <c r="B64" s="186"/>
      <c r="C64" s="186"/>
      <c r="D64" s="186"/>
      <c r="E64" s="186"/>
      <c r="F64" s="186"/>
      <c r="G64" s="186"/>
      <c r="H64" s="171" t="s">
        <v>291</v>
      </c>
      <c r="I64" s="403">
        <f>AVERAGE(F62:I62)</f>
        <v>0.14007003452713551</v>
      </c>
    </row>
    <row r="65" spans="2:9" ht="14.4">
      <c r="B65" s="186"/>
      <c r="C65" s="186"/>
      <c r="D65" s="186"/>
      <c r="E65" s="186"/>
      <c r="F65" s="186"/>
      <c r="G65" s="186"/>
      <c r="H65" s="171" t="s">
        <v>292</v>
      </c>
      <c r="I65" s="403">
        <f>MEDIAN(F62:I62)</f>
        <v>0.136679198757512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B2B4-B4BB-4C78-8234-A2095D4A5502}">
  <dimension ref="B3:P34"/>
  <sheetViews>
    <sheetView showGridLines="0" topLeftCell="A6" zoomScale="70" zoomScaleNormal="70" workbookViewId="0">
      <selection activeCell="H44" sqref="H44"/>
    </sheetView>
  </sheetViews>
  <sheetFormatPr defaultRowHeight="13.8"/>
  <cols>
    <col min="2" max="2" width="36.5" customWidth="1"/>
    <col min="3" max="3" width="10.125" customWidth="1"/>
    <col min="4" max="4" width="16.625" customWidth="1"/>
    <col min="5" max="5" width="19.75" bestFit="1" customWidth="1"/>
    <col min="6" max="9" width="16.625" customWidth="1"/>
    <col min="10" max="10" width="9.375" bestFit="1" customWidth="1"/>
    <col min="11" max="11" width="11.25" customWidth="1"/>
    <col min="12" max="12" width="14.375" customWidth="1"/>
    <col min="13" max="16" width="16.625" customWidth="1"/>
  </cols>
  <sheetData>
    <row r="3" spans="2:16" ht="14.4">
      <c r="B3" s="204" t="s">
        <v>319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</row>
    <row r="4" spans="2:16" ht="16.2" thickBot="1">
      <c r="B4" s="200" t="s">
        <v>320</v>
      </c>
      <c r="C4" s="185"/>
      <c r="D4" s="185"/>
      <c r="E4" s="185"/>
      <c r="F4" s="185"/>
      <c r="G4" s="185"/>
      <c r="H4" s="185"/>
      <c r="I4" s="185"/>
      <c r="J4" s="185"/>
      <c r="K4" s="186"/>
      <c r="L4" s="186"/>
      <c r="M4" s="186"/>
      <c r="N4" s="186"/>
      <c r="O4" s="186"/>
      <c r="P4" s="186"/>
    </row>
    <row r="5" spans="2:16" ht="14.4"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</row>
    <row r="6" spans="2:16" ht="15" thickBot="1">
      <c r="B6" s="326"/>
      <c r="C6" s="326"/>
      <c r="D6" s="443" t="s">
        <v>321</v>
      </c>
      <c r="E6" s="443"/>
      <c r="F6" s="443"/>
      <c r="G6" s="443"/>
      <c r="H6" s="443"/>
      <c r="I6" s="326"/>
      <c r="J6" s="443" t="s">
        <v>322</v>
      </c>
      <c r="K6" s="443"/>
      <c r="L6" s="443"/>
      <c r="M6" s="326"/>
      <c r="N6" s="443" t="s">
        <v>323</v>
      </c>
      <c r="O6" s="443"/>
      <c r="P6" s="443"/>
    </row>
    <row r="7" spans="2:16" ht="14.4">
      <c r="B7" s="197" t="s">
        <v>227</v>
      </c>
      <c r="C7" s="197" t="s">
        <v>324</v>
      </c>
      <c r="D7" s="205" t="s">
        <v>325</v>
      </c>
      <c r="E7" s="205" t="s">
        <v>326</v>
      </c>
      <c r="F7" s="205" t="s">
        <v>327</v>
      </c>
      <c r="G7" s="209" t="s">
        <v>328</v>
      </c>
      <c r="H7" s="205" t="s">
        <v>329</v>
      </c>
      <c r="I7" s="326"/>
      <c r="J7" s="205" t="s">
        <v>330</v>
      </c>
      <c r="K7" s="205" t="s">
        <v>65</v>
      </c>
      <c r="L7" s="205" t="s">
        <v>331</v>
      </c>
      <c r="M7" s="326"/>
      <c r="N7" s="205" t="s">
        <v>332</v>
      </c>
      <c r="O7" s="205" t="s">
        <v>333</v>
      </c>
      <c r="P7" s="205" t="s">
        <v>334</v>
      </c>
    </row>
    <row r="8" spans="2:16" s="125" customFormat="1" ht="14.4">
      <c r="B8" s="218" t="str">
        <f>compdata!C10</f>
        <v>Marksans Pharma</v>
      </c>
      <c r="C8" s="218"/>
      <c r="D8" s="219">
        <f>compdata!D10</f>
        <v>309.10000000000002</v>
      </c>
      <c r="E8" s="219">
        <f>compdata!E10</f>
        <v>45.32</v>
      </c>
      <c r="F8" s="220">
        <f>compdata!F10</f>
        <v>14008.412</v>
      </c>
      <c r="G8" s="219">
        <f>compdata!I10</f>
        <v>-646.27</v>
      </c>
      <c r="H8" s="220">
        <f>compdata!J10</f>
        <v>13362.142</v>
      </c>
      <c r="I8" s="218"/>
      <c r="J8" s="220">
        <f>compdata!L10</f>
        <v>3171.75</v>
      </c>
      <c r="K8" s="220">
        <f>compdata!K10</f>
        <v>816.25791081246177</v>
      </c>
      <c r="L8" s="220">
        <f>compdata!M10</f>
        <v>521.27</v>
      </c>
      <c r="M8" s="218"/>
      <c r="N8" s="223">
        <f>H8/J8</f>
        <v>4.2128610388586738</v>
      </c>
      <c r="O8" s="223">
        <f>H8/K8</f>
        <v>16.37</v>
      </c>
      <c r="P8" s="223">
        <f>F8/L8</f>
        <v>26.87362019682698</v>
      </c>
    </row>
    <row r="9" spans="2:16" ht="14.4">
      <c r="B9" s="214" t="str">
        <f>compdata!C3</f>
        <v>Sun Pharma.Inds.</v>
      </c>
      <c r="C9" s="214"/>
      <c r="D9" s="216">
        <f>compdata!D3</f>
        <v>1760</v>
      </c>
      <c r="E9" s="216">
        <f>compdata!E3</f>
        <v>239.93</v>
      </c>
      <c r="F9" s="215">
        <f>E9*D9</f>
        <v>422276.8</v>
      </c>
      <c r="G9" s="216">
        <f>compdata!I3</f>
        <v>-6975.76</v>
      </c>
      <c r="H9" s="215">
        <f>compdata!J3</f>
        <v>415301.04</v>
      </c>
      <c r="I9" s="214"/>
      <c r="J9" s="215">
        <f>compdata!L3</f>
        <v>59910.52</v>
      </c>
      <c r="K9" s="215">
        <f>compdata!K3</f>
        <v>20082.255319148935</v>
      </c>
      <c r="L9" s="215">
        <f>compdata!M3</f>
        <v>12117.01</v>
      </c>
      <c r="M9" s="214"/>
      <c r="N9" s="224">
        <f t="shared" ref="N9:N15" si="0">H9/J9</f>
        <v>6.9320219554095006</v>
      </c>
      <c r="O9" s="224">
        <f t="shared" ref="O9:O15" si="1">H9/K9</f>
        <v>20.68</v>
      </c>
      <c r="P9" s="224">
        <f t="shared" ref="P9:P15" si="2">F9/L9</f>
        <v>34.849917595182305</v>
      </c>
    </row>
    <row r="10" spans="2:16" ht="14.4">
      <c r="B10" s="214" t="str">
        <f>compdata!C4</f>
        <v>Divi's Lab.</v>
      </c>
      <c r="C10" s="214"/>
      <c r="D10" s="216">
        <f>compdata!D4</f>
        <v>9340</v>
      </c>
      <c r="E10" s="216">
        <f>compdata!E4</f>
        <v>26.55</v>
      </c>
      <c r="F10" s="215">
        <f t="shared" ref="F10:F15" si="3">E10*D10</f>
        <v>247977</v>
      </c>
      <c r="G10" s="216">
        <f>compdata!I4</f>
        <v>-3407</v>
      </c>
      <c r="H10" s="215">
        <f>compdata!J4</f>
        <v>244570</v>
      </c>
      <c r="I10" s="214"/>
      <c r="J10" s="215">
        <f>compdata!L4</f>
        <v>11230</v>
      </c>
      <c r="K10" s="215">
        <f>compdata!K4</f>
        <v>4419.4073003252615</v>
      </c>
      <c r="L10" s="215">
        <f>compdata!M4</f>
        <v>2925</v>
      </c>
      <c r="M10" s="214"/>
      <c r="N10" s="224">
        <f t="shared" si="0"/>
        <v>21.778272484416743</v>
      </c>
      <c r="O10" s="224">
        <f t="shared" si="1"/>
        <v>55.34</v>
      </c>
      <c r="P10" s="224">
        <f t="shared" si="2"/>
        <v>84.778461538461542</v>
      </c>
    </row>
    <row r="11" spans="2:16" ht="14.4">
      <c r="B11" s="214" t="str">
        <f>compdata!C5</f>
        <v>Torrent Pharma.</v>
      </c>
      <c r="C11" s="182"/>
      <c r="D11" s="216">
        <f>compdata!D5</f>
        <v>4656.8999999999996</v>
      </c>
      <c r="E11" s="216">
        <f>compdata!E5</f>
        <v>38.04</v>
      </c>
      <c r="F11" s="215">
        <f t="shared" si="3"/>
        <v>177148.476</v>
      </c>
      <c r="G11" s="216">
        <f>compdata!I5</f>
        <v>13860.3</v>
      </c>
      <c r="H11" s="215">
        <f>compdata!J5</f>
        <v>191008.77599999998</v>
      </c>
      <c r="I11" s="182"/>
      <c r="J11" s="215">
        <f>compdata!L5</f>
        <v>15723</v>
      </c>
      <c r="K11" s="215">
        <f>compdata!K5</f>
        <v>5122.2519710378119</v>
      </c>
      <c r="L11" s="215">
        <f>compdata!M5</f>
        <v>2156</v>
      </c>
      <c r="M11" s="182"/>
      <c r="N11" s="224">
        <f t="shared" si="0"/>
        <v>12.148367105514215</v>
      </c>
      <c r="O11" s="224">
        <f t="shared" si="1"/>
        <v>37.289999999999992</v>
      </c>
      <c r="P11" s="224">
        <f t="shared" si="2"/>
        <v>82.165341372912806</v>
      </c>
    </row>
    <row r="12" spans="2:16" ht="14.4">
      <c r="B12" s="214" t="str">
        <f>compdata!C6</f>
        <v>Zydus Lifesci.</v>
      </c>
      <c r="C12" s="182"/>
      <c r="D12" s="216">
        <f>compdata!D6</f>
        <v>1117.5</v>
      </c>
      <c r="E12" s="216">
        <f>compdata!E6</f>
        <v>99.75</v>
      </c>
      <c r="F12" s="215">
        <f t="shared" si="3"/>
        <v>111470.625</v>
      </c>
      <c r="G12" s="216">
        <f>compdata!I6</f>
        <v>11079.4</v>
      </c>
      <c r="H12" s="215">
        <f>compdata!J6</f>
        <v>122550.02499999999</v>
      </c>
      <c r="I12" s="182"/>
      <c r="J12" s="215">
        <f>compdata!L6</f>
        <v>28591.7</v>
      </c>
      <c r="K12" s="215">
        <f>compdata!K6</f>
        <v>8778.6550859598847</v>
      </c>
      <c r="L12" s="215">
        <f>compdata!M6</f>
        <v>4592.7</v>
      </c>
      <c r="M12" s="182"/>
      <c r="N12" s="224">
        <f t="shared" si="0"/>
        <v>4.2862098091404146</v>
      </c>
      <c r="O12" s="224">
        <f t="shared" si="1"/>
        <v>13.96</v>
      </c>
      <c r="P12" s="224">
        <f t="shared" si="2"/>
        <v>24.271262002743484</v>
      </c>
    </row>
    <row r="13" spans="2:16" ht="14.4">
      <c r="B13" s="214" t="str">
        <f>compdata!C7</f>
        <v>Laurus Labs</v>
      </c>
      <c r="C13" s="182"/>
      <c r="D13" s="216">
        <f>compdata!D7</f>
        <v>2036.6</v>
      </c>
      <c r="E13" s="216">
        <f>compdata!E7</f>
        <v>54.03</v>
      </c>
      <c r="F13" s="215">
        <f t="shared" si="3"/>
        <v>110037.49799999999</v>
      </c>
      <c r="G13" s="216">
        <f>compdata!I7</f>
        <v>2404.7800000000002</v>
      </c>
      <c r="H13" s="215">
        <f>compdata!J7</f>
        <v>112442.27799999999</v>
      </c>
      <c r="I13" s="182"/>
      <c r="J13" s="215">
        <f>compdata!L7</f>
        <v>7269.64</v>
      </c>
      <c r="K13" s="215">
        <f>compdata!K7</f>
        <v>2087.6769030820647</v>
      </c>
      <c r="L13" s="215">
        <f>compdata!M7</f>
        <v>1090.53</v>
      </c>
      <c r="M13" s="182"/>
      <c r="N13" s="224">
        <f t="shared" si="0"/>
        <v>15.467379127439596</v>
      </c>
      <c r="O13" s="224">
        <f t="shared" si="1"/>
        <v>53.859999999999992</v>
      </c>
      <c r="P13" s="224">
        <f t="shared" si="2"/>
        <v>100.90277021264889</v>
      </c>
    </row>
    <row r="14" spans="2:16" ht="14.4">
      <c r="B14" s="214" t="str">
        <f>compdata!C8</f>
        <v>Cipla</v>
      </c>
      <c r="C14" s="182"/>
      <c r="D14" s="216">
        <f>compdata!D8</f>
        <v>1301</v>
      </c>
      <c r="E14" s="216">
        <f>compdata!E8</f>
        <v>80.790000000000006</v>
      </c>
      <c r="F14" s="215">
        <f t="shared" si="3"/>
        <v>105107.79000000001</v>
      </c>
      <c r="G14" s="216">
        <f>compdata!I8</f>
        <v>-693.65000000000009</v>
      </c>
      <c r="H14" s="215">
        <f>compdata!J8</f>
        <v>104414.14000000001</v>
      </c>
      <c r="I14" s="182"/>
      <c r="J14" s="215">
        <f>compdata!L8</f>
        <v>28324.400000000001</v>
      </c>
      <c r="K14" s="215">
        <f>compdata!K8</f>
        <v>6131.1884908984148</v>
      </c>
      <c r="L14" s="215">
        <f>compdata!M8</f>
        <v>3355.68</v>
      </c>
      <c r="M14" s="182"/>
      <c r="N14" s="224">
        <f t="shared" si="0"/>
        <v>3.6863672310799172</v>
      </c>
      <c r="O14" s="224">
        <f t="shared" si="1"/>
        <v>17.03</v>
      </c>
      <c r="P14" s="224">
        <f t="shared" si="2"/>
        <v>31.322351952510374</v>
      </c>
    </row>
    <row r="15" spans="2:16" ht="14.4">
      <c r="B15" s="214" t="str">
        <f>compdata!C9</f>
        <v>Dr Reddy's Labs</v>
      </c>
      <c r="C15" s="182"/>
      <c r="D15" s="216">
        <f>compdata!D9</f>
        <v>1197</v>
      </c>
      <c r="E15" s="216">
        <f>compdata!E9</f>
        <v>83.47</v>
      </c>
      <c r="F15" s="215">
        <f t="shared" si="3"/>
        <v>99913.59</v>
      </c>
      <c r="G15" s="216">
        <f>compdata!I9</f>
        <v>4385.4000000000005</v>
      </c>
      <c r="H15" s="215">
        <f>compdata!J9</f>
        <v>104298.99</v>
      </c>
      <c r="I15" s="182"/>
      <c r="J15" s="215">
        <f>compdata!L9</f>
        <v>33227.9</v>
      </c>
      <c r="K15" s="215">
        <f>compdata!K9</f>
        <v>6576.2288776796977</v>
      </c>
      <c r="L15" s="215">
        <f>compdata!M9</f>
        <v>3183.3</v>
      </c>
      <c r="M15" s="182"/>
      <c r="N15" s="224">
        <f t="shared" si="0"/>
        <v>3.1388980344830699</v>
      </c>
      <c r="O15" s="224">
        <f t="shared" si="1"/>
        <v>15.86</v>
      </c>
      <c r="P15" s="224">
        <f t="shared" si="2"/>
        <v>31.386796720384503</v>
      </c>
    </row>
    <row r="16" spans="2:16" ht="14.4"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225"/>
      <c r="O16" s="225"/>
      <c r="P16" s="347"/>
    </row>
    <row r="17" spans="2:16" ht="14.4">
      <c r="B17" s="206" t="s">
        <v>337</v>
      </c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26">
        <f>MAX(N8:N15)</f>
        <v>21.778272484416743</v>
      </c>
      <c r="O17" s="226">
        <f t="shared" ref="O17:P17" si="4">MAX(O8:O15)</f>
        <v>55.34</v>
      </c>
      <c r="P17" s="223">
        <f t="shared" si="4"/>
        <v>100.90277021264889</v>
      </c>
    </row>
    <row r="18" spans="2:16" ht="14.4">
      <c r="B18" s="206" t="s">
        <v>338</v>
      </c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26">
        <f>QUARTILE(N8:N15,3)</f>
        <v>12.97812011099556</v>
      </c>
      <c r="O18" s="226">
        <f t="shared" ref="O18:P18" si="5">QUARTILE(O8:O15,3)</f>
        <v>41.43249999999999</v>
      </c>
      <c r="P18" s="223">
        <f t="shared" si="5"/>
        <v>82.818621414299997</v>
      </c>
    </row>
    <row r="19" spans="2:16" ht="14.4">
      <c r="B19" s="208" t="s">
        <v>161</v>
      </c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27">
        <f>AVERAGE(N8:N15)</f>
        <v>8.9562970982927652</v>
      </c>
      <c r="O19" s="227">
        <f t="shared" ref="O19:P19" si="6">AVERAGE(O8:O15)</f>
        <v>28.798749999999998</v>
      </c>
      <c r="P19" s="349">
        <f t="shared" si="6"/>
        <v>52.068815198958852</v>
      </c>
    </row>
    <row r="20" spans="2:16" ht="14.4">
      <c r="B20" s="208" t="s">
        <v>144</v>
      </c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27">
        <f>MEDIAN(N8:N15)</f>
        <v>5.6091158822749581</v>
      </c>
      <c r="O20" s="227">
        <f t="shared" ref="O20:P20" si="7">MEDIAN(O8:O15)</f>
        <v>18.855</v>
      </c>
      <c r="P20" s="349">
        <f t="shared" si="7"/>
        <v>33.118357157783407</v>
      </c>
    </row>
    <row r="21" spans="2:16" ht="14.4">
      <c r="B21" s="206" t="s">
        <v>339</v>
      </c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26">
        <f>QUARTILE(N8:N15,1)</f>
        <v>4.0812375869139847</v>
      </c>
      <c r="O21" s="226">
        <f t="shared" ref="O21:P21" si="8">QUARTILE(O8:O15,1)</f>
        <v>16.2425</v>
      </c>
      <c r="P21" s="223">
        <f t="shared" si="8"/>
        <v>30.210169013589525</v>
      </c>
    </row>
    <row r="22" spans="2:16" ht="14.4">
      <c r="B22" s="206" t="s">
        <v>340</v>
      </c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26">
        <f>MIN(N8:N15)</f>
        <v>3.1388980344830699</v>
      </c>
      <c r="O22" s="226">
        <f t="shared" ref="O22:P22" si="9">MIN(O8:O15)</f>
        <v>13.96</v>
      </c>
      <c r="P22" s="223">
        <f t="shared" si="9"/>
        <v>24.271262002743484</v>
      </c>
    </row>
    <row r="23" spans="2:16" ht="14.4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</row>
    <row r="24" spans="2:16" ht="15" thickBot="1">
      <c r="B24" s="201" t="s">
        <v>353</v>
      </c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205" t="s">
        <v>332</v>
      </c>
      <c r="O24" s="209" t="s">
        <v>333</v>
      </c>
      <c r="P24" s="209" t="s">
        <v>334</v>
      </c>
    </row>
    <row r="25" spans="2:16" ht="14.4"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214"/>
    </row>
    <row r="26" spans="2:16" ht="14.4">
      <c r="B26" s="162" t="s">
        <v>341</v>
      </c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207">
        <f>N20*J8</f>
        <v>17790.713299605599</v>
      </c>
      <c r="O26" s="207">
        <f>O20*K8</f>
        <v>15390.542908368967</v>
      </c>
      <c r="P26" s="348">
        <f>P27+P28</f>
        <v>16617.336035637756</v>
      </c>
    </row>
    <row r="27" spans="2:16" ht="14.4">
      <c r="B27" s="182" t="s">
        <v>328</v>
      </c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221">
        <f>$G$8</f>
        <v>-646.27</v>
      </c>
      <c r="O27" s="221">
        <f t="shared" ref="O27" si="10">$G$8</f>
        <v>-646.27</v>
      </c>
      <c r="P27" s="221">
        <f>O27</f>
        <v>-646.27</v>
      </c>
    </row>
    <row r="28" spans="2:16" ht="14.4">
      <c r="B28" s="162" t="s">
        <v>342</v>
      </c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207">
        <f>N26-N27</f>
        <v>18436.983299605599</v>
      </c>
      <c r="O28" s="207">
        <f t="shared" ref="O28" si="11">O26-O27</f>
        <v>16036.812908368967</v>
      </c>
      <c r="P28" s="207">
        <f>P20*L8</f>
        <v>17263.606035637757</v>
      </c>
    </row>
    <row r="29" spans="2:16" ht="14.4">
      <c r="B29" s="162" t="s">
        <v>326</v>
      </c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221">
        <f>$E$8</f>
        <v>45.32</v>
      </c>
      <c r="O29" s="221">
        <f t="shared" ref="O29:P29" si="12">$E$8</f>
        <v>45.32</v>
      </c>
      <c r="P29" s="221">
        <f t="shared" si="12"/>
        <v>45.32</v>
      </c>
    </row>
    <row r="30" spans="2:16" ht="15" thickBot="1"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</row>
    <row r="31" spans="2:16" ht="15" thickBot="1">
      <c r="B31" s="202" t="s">
        <v>343</v>
      </c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22">
        <f>N28/N29</f>
        <v>406.81781331874669</v>
      </c>
      <c r="O31" s="222">
        <f t="shared" ref="O31:P31" si="13">O28/O29</f>
        <v>353.85730159684391</v>
      </c>
      <c r="P31" s="222">
        <f t="shared" si="13"/>
        <v>380.92687633799108</v>
      </c>
    </row>
    <row r="32" spans="2:16" ht="14.4"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217"/>
    </row>
    <row r="33" spans="2:16" ht="14.4">
      <c r="B33" s="203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</row>
    <row r="34" spans="2:16" ht="14.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 t="str" cm="1">
        <f t="array" ref="N34">_xlfn.IFS(N$31&gt;$D$8,"undervalued",N$31&lt;$D$8,"overvalued",N$31=N$31,"Fair Value")</f>
        <v>undervalued</v>
      </c>
      <c r="O34" s="186" t="str" cm="1">
        <f t="array" ref="O34">_xlfn.IFS(O$31&gt;$D$8,"undervalued",O$31&lt;$D$8,"overvalued",O$31=O$31,"Fair Value")</f>
        <v>undervalued</v>
      </c>
      <c r="P34" s="186" t="str" cm="1">
        <f t="array" ref="P34">_xlfn.IFS(P$31&gt;$D$8,"undervalued",P$31&lt;$D$8,"overvalued",P$31=P$31,"Fair Value")</f>
        <v>undervalued</v>
      </c>
    </row>
  </sheetData>
  <mergeCells count="3">
    <mergeCell ref="D6:H6"/>
    <mergeCell ref="J6:L6"/>
    <mergeCell ref="N6:P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E8ED-4F84-49B6-BDE9-039DC38AEE6A}">
  <dimension ref="B3:T40"/>
  <sheetViews>
    <sheetView showGridLines="0" zoomScale="74" workbookViewId="0">
      <selection activeCell="R28" sqref="R28"/>
    </sheetView>
  </sheetViews>
  <sheetFormatPr defaultRowHeight="14.4"/>
  <cols>
    <col min="1" max="1" width="9" style="90"/>
    <col min="2" max="2" width="17.875" style="90" customWidth="1"/>
    <col min="3" max="3" width="13" style="90" customWidth="1"/>
    <col min="4" max="10" width="12.625" style="90" customWidth="1"/>
    <col min="11" max="13" width="9" style="90"/>
    <col min="14" max="14" width="9.75" style="90" bestFit="1" customWidth="1"/>
    <col min="15" max="16384" width="9" style="90"/>
  </cols>
  <sheetData>
    <row r="3" spans="2:20" ht="18">
      <c r="B3" s="311" t="s">
        <v>147</v>
      </c>
      <c r="C3" s="312"/>
      <c r="D3" s="312"/>
      <c r="E3" s="313"/>
      <c r="F3" s="313"/>
      <c r="G3" s="313"/>
      <c r="H3" s="313"/>
      <c r="I3" s="313"/>
      <c r="J3" s="313"/>
    </row>
    <row r="4" spans="2:20">
      <c r="B4" s="91"/>
      <c r="C4" s="91"/>
      <c r="D4" s="91"/>
      <c r="E4" s="91"/>
      <c r="F4" s="91"/>
      <c r="G4" s="91"/>
      <c r="H4" s="91"/>
      <c r="I4" s="91"/>
      <c r="J4" s="91"/>
    </row>
    <row r="5" spans="2:20">
      <c r="B5" s="86" t="s">
        <v>148</v>
      </c>
      <c r="C5" s="91"/>
      <c r="D5" s="91"/>
      <c r="E5" s="91"/>
      <c r="F5" s="91"/>
      <c r="G5" s="91"/>
      <c r="H5" s="91"/>
      <c r="I5" s="91"/>
      <c r="J5" s="91"/>
    </row>
    <row r="6" spans="2:20">
      <c r="B6" s="91"/>
      <c r="C6" s="91"/>
      <c r="D6" s="91"/>
      <c r="E6" s="91"/>
      <c r="F6" s="91"/>
      <c r="G6" s="91"/>
      <c r="H6" s="91"/>
      <c r="I6" s="91"/>
      <c r="J6" s="91"/>
    </row>
    <row r="7" spans="2:20" ht="15" thickBot="1">
      <c r="B7" s="92" t="s">
        <v>149</v>
      </c>
      <c r="C7" s="93"/>
      <c r="D7" s="93"/>
      <c r="E7" s="93"/>
      <c r="F7" s="93"/>
      <c r="G7" s="93"/>
      <c r="H7" s="93"/>
      <c r="I7" s="93"/>
      <c r="J7" s="93"/>
    </row>
    <row r="8" spans="2:20">
      <c r="B8" s="91"/>
      <c r="C8" s="91"/>
      <c r="D8" s="91"/>
      <c r="E8" s="91"/>
      <c r="F8" s="91"/>
      <c r="G8" s="94" t="s">
        <v>150</v>
      </c>
      <c r="H8" s="94" t="s">
        <v>150</v>
      </c>
      <c r="I8" s="94" t="s">
        <v>151</v>
      </c>
      <c r="J8" s="94" t="s">
        <v>152</v>
      </c>
    </row>
    <row r="9" spans="2:20" ht="15" thickBot="1">
      <c r="B9" s="95" t="s">
        <v>153</v>
      </c>
      <c r="C9" s="95" t="s">
        <v>154</v>
      </c>
      <c r="D9" s="96" t="s">
        <v>155</v>
      </c>
      <c r="E9" s="96" t="s">
        <v>156</v>
      </c>
      <c r="F9" s="97" t="s">
        <v>157</v>
      </c>
      <c r="G9" s="96" t="s">
        <v>158</v>
      </c>
      <c r="H9" s="96" t="s">
        <v>159</v>
      </c>
      <c r="I9" s="97" t="s">
        <v>237</v>
      </c>
      <c r="J9" s="97" t="s">
        <v>237</v>
      </c>
      <c r="P9" s="439" t="s">
        <v>384</v>
      </c>
    </row>
    <row r="10" spans="2:20">
      <c r="B10" s="98"/>
      <c r="C10" s="98"/>
      <c r="D10" s="98"/>
      <c r="E10" s="98"/>
      <c r="F10" s="98"/>
      <c r="G10" s="98"/>
      <c r="H10" s="98"/>
      <c r="I10" s="98"/>
      <c r="J10" s="98"/>
      <c r="P10" s="439" t="s">
        <v>385</v>
      </c>
      <c r="T10" s="90" t="s">
        <v>388</v>
      </c>
    </row>
    <row r="11" spans="2:20">
      <c r="B11" s="423" t="s">
        <v>229</v>
      </c>
      <c r="C11" s="424" t="s">
        <v>160</v>
      </c>
      <c r="D11" s="133">
        <f>peerdata!G5</f>
        <v>4627.32</v>
      </c>
      <c r="E11" s="133">
        <f>peerdata!E5</f>
        <v>424041.97</v>
      </c>
      <c r="F11" s="88">
        <v>0.3</v>
      </c>
      <c r="G11" s="354">
        <f>D11/E11</f>
        <v>1.0912410391829847E-2</v>
      </c>
      <c r="H11" s="89">
        <f>D11/(D11+E11)</f>
        <v>1.0794615121601084E-2</v>
      </c>
      <c r="I11" s="87">
        <v>0.54200000000000004</v>
      </c>
      <c r="J11" s="406">
        <f>I11/(1+(1-F11)*G11)</f>
        <v>0.53789121720419486</v>
      </c>
      <c r="P11" s="90" t="s">
        <v>386</v>
      </c>
      <c r="T11" s="90" t="s">
        <v>387</v>
      </c>
    </row>
    <row r="12" spans="2:20" ht="18">
      <c r="B12" s="423" t="s">
        <v>230</v>
      </c>
      <c r="C12" s="424" t="s">
        <v>160</v>
      </c>
      <c r="D12" s="133">
        <f>peerdata!G6</f>
        <v>7</v>
      </c>
      <c r="E12" s="133">
        <f>peerdata!E6</f>
        <v>247208.22</v>
      </c>
      <c r="F12" s="88">
        <v>0.3</v>
      </c>
      <c r="G12" s="354">
        <f>D12/E12</f>
        <v>2.8316210520831387E-5</v>
      </c>
      <c r="H12" s="89">
        <f t="shared" ref="H12:H15" si="0">D12/(D12+E12)</f>
        <v>2.8315408735756642E-5</v>
      </c>
      <c r="I12" s="87">
        <v>0.90100000000000002</v>
      </c>
      <c r="J12" s="406">
        <f>I12/(1+(1-F12)*G12)</f>
        <v>0.90098214132000765</v>
      </c>
      <c r="N12" s="426"/>
      <c r="P12" s="90" t="s">
        <v>389</v>
      </c>
      <c r="T12" s="90" t="s">
        <v>390</v>
      </c>
    </row>
    <row r="13" spans="2:20">
      <c r="B13" s="423" t="s">
        <v>231</v>
      </c>
      <c r="C13" s="424" t="s">
        <v>160</v>
      </c>
      <c r="D13" s="133">
        <f>peerdata!G7</f>
        <v>15025.5</v>
      </c>
      <c r="E13" s="133">
        <f>peerdata!E7</f>
        <v>174939.7</v>
      </c>
      <c r="F13" s="88">
        <v>0.3</v>
      </c>
      <c r="G13" s="354">
        <f>D13/E13</f>
        <v>8.588959510048319E-2</v>
      </c>
      <c r="H13" s="89">
        <f t="shared" si="0"/>
        <v>7.9096066016301925E-2</v>
      </c>
      <c r="I13" s="87">
        <v>0.49</v>
      </c>
      <c r="J13" s="406">
        <f t="shared" ref="J13:J15" si="1">I13/(1+(1-F13)*G13)</f>
        <v>0.46221064065604234</v>
      </c>
      <c r="P13" s="90" t="s">
        <v>391</v>
      </c>
      <c r="T13" s="90" t="s">
        <v>392</v>
      </c>
    </row>
    <row r="14" spans="2:20">
      <c r="B14" s="423" t="s">
        <v>232</v>
      </c>
      <c r="C14" s="424" t="s">
        <v>160</v>
      </c>
      <c r="D14" s="133">
        <f>peerdata!G8</f>
        <v>12496</v>
      </c>
      <c r="E14" s="133">
        <f>peerdata!E8</f>
        <v>111151.2</v>
      </c>
      <c r="F14" s="88">
        <v>0.3</v>
      </c>
      <c r="G14" s="354">
        <f>D14/E14</f>
        <v>0.11242343762370537</v>
      </c>
      <c r="H14" s="89">
        <f t="shared" si="0"/>
        <v>0.10106173047185865</v>
      </c>
      <c r="I14" s="87">
        <v>0.51300000000000001</v>
      </c>
      <c r="J14" s="406">
        <f t="shared" si="1"/>
        <v>0.47557403268100323</v>
      </c>
    </row>
    <row r="15" spans="2:20">
      <c r="B15" s="423" t="s">
        <v>233</v>
      </c>
      <c r="C15" s="424" t="s">
        <v>160</v>
      </c>
      <c r="D15" s="133">
        <f>peerdata!G9</f>
        <v>2518.48</v>
      </c>
      <c r="E15" s="133">
        <f>peerdata!E9</f>
        <v>109924.45</v>
      </c>
      <c r="F15" s="88">
        <v>0.3</v>
      </c>
      <c r="G15" s="354">
        <f>D15/E15</f>
        <v>2.291100842442241E-2</v>
      </c>
      <c r="H15" s="89">
        <f t="shared" si="0"/>
        <v>2.2397851069871626E-2</v>
      </c>
      <c r="I15" s="87">
        <v>1.07</v>
      </c>
      <c r="J15" s="406">
        <f t="shared" si="1"/>
        <v>1.0531105231525428</v>
      </c>
    </row>
    <row r="16" spans="2:20" ht="15" thickBot="1">
      <c r="B16" s="91"/>
      <c r="C16" s="91"/>
      <c r="D16" s="91"/>
      <c r="E16" s="99"/>
      <c r="F16" s="99"/>
      <c r="G16" s="99"/>
      <c r="H16" s="99"/>
      <c r="I16" s="99"/>
      <c r="J16" s="362"/>
    </row>
    <row r="17" spans="2:11">
      <c r="B17" s="91"/>
      <c r="C17" s="91"/>
      <c r="D17" s="91"/>
      <c r="E17" s="100" t="s">
        <v>161</v>
      </c>
      <c r="F17" s="101">
        <f>AVERAGE(F11:F15)</f>
        <v>0.3</v>
      </c>
      <c r="G17" s="354">
        <f t="shared" ref="G17:J17" si="2">AVERAGE(G11:G15)</f>
        <v>4.6432953550192321E-2</v>
      </c>
      <c r="H17" s="101">
        <f t="shared" si="2"/>
        <v>4.2675715617673811E-2</v>
      </c>
      <c r="I17" s="94">
        <f t="shared" si="2"/>
        <v>0.70320000000000005</v>
      </c>
      <c r="J17" s="408">
        <f t="shared" si="2"/>
        <v>0.68595371100275815</v>
      </c>
    </row>
    <row r="18" spans="2:11" ht="15" thickBot="1">
      <c r="B18" s="91"/>
      <c r="C18" s="91"/>
      <c r="D18" s="91"/>
      <c r="E18" s="102" t="s">
        <v>144</v>
      </c>
      <c r="F18" s="103">
        <f>MEDIAN(F11:F15)</f>
        <v>0.3</v>
      </c>
      <c r="G18" s="407">
        <f t="shared" ref="G18:J18" si="3">MEDIAN(G11:G15)</f>
        <v>2.291100842442241E-2</v>
      </c>
      <c r="H18" s="134">
        <f t="shared" si="3"/>
        <v>2.2397851069871626E-2</v>
      </c>
      <c r="I18" s="104">
        <f t="shared" si="3"/>
        <v>0.54200000000000004</v>
      </c>
      <c r="J18" s="409">
        <f t="shared" si="3"/>
        <v>0.53789121720419486</v>
      </c>
    </row>
    <row r="20" spans="2:11" ht="15" thickBot="1">
      <c r="B20" s="102" t="s">
        <v>162</v>
      </c>
      <c r="C20" s="99"/>
      <c r="D20" s="99"/>
      <c r="E20" s="99"/>
      <c r="G20" s="106" t="s">
        <v>166</v>
      </c>
      <c r="H20" s="99"/>
      <c r="I20" s="99"/>
      <c r="J20" s="99"/>
    </row>
    <row r="21" spans="2:11">
      <c r="B21" s="91"/>
      <c r="C21" s="91"/>
      <c r="D21" s="91"/>
      <c r="E21" s="91"/>
      <c r="G21" s="91"/>
      <c r="H21" s="91"/>
      <c r="I21" s="91"/>
      <c r="J21" s="91"/>
    </row>
    <row r="22" spans="2:11">
      <c r="B22" s="91" t="s">
        <v>163</v>
      </c>
      <c r="C22" s="91"/>
      <c r="D22" s="91"/>
      <c r="E22" s="132">
        <v>0.08</v>
      </c>
      <c r="G22" s="54" t="s">
        <v>167</v>
      </c>
      <c r="H22" s="91"/>
      <c r="I22" s="91"/>
      <c r="J22" s="410">
        <v>7.2999999999999995E-2</v>
      </c>
      <c r="K22" s="131" t="s">
        <v>238</v>
      </c>
    </row>
    <row r="23" spans="2:11">
      <c r="B23" s="105" t="s">
        <v>164</v>
      </c>
      <c r="C23" s="105"/>
      <c r="D23" s="105"/>
      <c r="E23" s="135">
        <f>F18</f>
        <v>0.3</v>
      </c>
      <c r="G23" s="54" t="s">
        <v>168</v>
      </c>
      <c r="H23" s="91"/>
      <c r="I23" s="91"/>
      <c r="J23" s="355">
        <f>RM!F12-J22</f>
        <v>9.0692307692307697E-2</v>
      </c>
    </row>
    <row r="24" spans="2:11">
      <c r="B24" s="91" t="s">
        <v>165</v>
      </c>
      <c r="C24" s="91"/>
      <c r="D24" s="91"/>
      <c r="E24" s="89">
        <f>E22*(1-E23)</f>
        <v>5.5999999999999994E-2</v>
      </c>
      <c r="G24" s="107" t="s">
        <v>169</v>
      </c>
      <c r="H24" s="105"/>
      <c r="I24" s="105"/>
      <c r="J24" s="408">
        <f>J32</f>
        <v>0.54651775835034655</v>
      </c>
    </row>
    <row r="25" spans="2:11">
      <c r="G25" s="54" t="s">
        <v>166</v>
      </c>
      <c r="H25" s="91"/>
      <c r="I25" s="91"/>
      <c r="J25" s="360">
        <f>J22+J24*(J23)</f>
        <v>0.12256495669961989</v>
      </c>
    </row>
    <row r="27" spans="2:11" ht="15" thickBot="1">
      <c r="B27" s="102" t="s">
        <v>170</v>
      </c>
      <c r="C27" s="99"/>
      <c r="D27" s="99"/>
      <c r="E27" s="99"/>
      <c r="F27" s="91"/>
      <c r="G27" s="106" t="s">
        <v>171</v>
      </c>
      <c r="H27" s="99"/>
      <c r="I27" s="99"/>
      <c r="J27" s="99"/>
    </row>
    <row r="28" spans="2:11">
      <c r="B28" s="91"/>
      <c r="C28" s="350"/>
      <c r="D28" s="350"/>
      <c r="E28" s="350"/>
      <c r="F28" s="350"/>
      <c r="G28" s="350"/>
      <c r="H28" s="350"/>
      <c r="I28" s="350"/>
      <c r="J28" s="350"/>
    </row>
    <row r="29" spans="2:11" ht="15" thickBot="1">
      <c r="B29" s="91"/>
      <c r="C29" s="350"/>
      <c r="D29" s="351" t="s">
        <v>172</v>
      </c>
      <c r="E29" s="351" t="s">
        <v>173</v>
      </c>
      <c r="F29" s="350"/>
      <c r="G29" s="352" t="s">
        <v>174</v>
      </c>
      <c r="H29" s="350"/>
      <c r="I29" s="350"/>
      <c r="J29" s="408">
        <f>J18</f>
        <v>0.53789121720419486</v>
      </c>
    </row>
    <row r="30" spans="2:11">
      <c r="B30" s="91" t="s">
        <v>155</v>
      </c>
      <c r="C30" s="353">
        <v>343.38</v>
      </c>
      <c r="D30" s="354">
        <f>C30/$C$32</f>
        <v>2.39353915902E-2</v>
      </c>
      <c r="E30" s="355">
        <f>H18</f>
        <v>2.2397851069871626E-2</v>
      </c>
      <c r="F30" s="350"/>
      <c r="G30" s="352" t="s">
        <v>175</v>
      </c>
      <c r="H30" s="350"/>
      <c r="I30" s="350"/>
      <c r="J30" s="354">
        <f>E34</f>
        <v>2.291100842442241E-2</v>
      </c>
    </row>
    <row r="31" spans="2:11">
      <c r="B31" s="91" t="s">
        <v>44</v>
      </c>
      <c r="C31" s="356">
        <v>14002.74</v>
      </c>
      <c r="D31" s="354">
        <f>1-D30</f>
        <v>0.97606460840980003</v>
      </c>
      <c r="E31" s="357">
        <f>E32-E30</f>
        <v>0.97760214893012842</v>
      </c>
      <c r="F31" s="350"/>
      <c r="G31" s="358" t="s">
        <v>164</v>
      </c>
      <c r="H31" s="358"/>
      <c r="I31" s="358"/>
      <c r="J31" s="357">
        <f>E23</f>
        <v>0.3</v>
      </c>
    </row>
    <row r="32" spans="2:11">
      <c r="B32" s="91" t="s">
        <v>176</v>
      </c>
      <c r="C32" s="359">
        <f>SUM(C30:C31)</f>
        <v>14346.119999999999</v>
      </c>
      <c r="D32" s="360">
        <f>C32/$C$32</f>
        <v>1</v>
      </c>
      <c r="E32" s="354">
        <f>D32</f>
        <v>1</v>
      </c>
      <c r="F32" s="350"/>
      <c r="G32" s="352" t="s">
        <v>171</v>
      </c>
      <c r="H32" s="350"/>
      <c r="I32" s="350"/>
      <c r="J32" s="408">
        <f>J29*(1+(1-J31)*J30)</f>
        <v>0.54651775835034655</v>
      </c>
    </row>
    <row r="33" spans="2:10">
      <c r="B33" s="91"/>
      <c r="C33" s="350"/>
      <c r="D33" s="350"/>
      <c r="E33" s="350"/>
      <c r="F33" s="350"/>
      <c r="G33" s="350"/>
      <c r="H33" s="350"/>
      <c r="I33" s="350"/>
      <c r="J33" s="350"/>
    </row>
    <row r="34" spans="2:10" ht="15" thickBot="1">
      <c r="B34" s="366" t="s">
        <v>177</v>
      </c>
      <c r="C34" s="366"/>
      <c r="D34" s="367">
        <f>D30/D31</f>
        <v>2.4522343484203808E-2</v>
      </c>
      <c r="E34" s="367">
        <f>E30/E31</f>
        <v>2.291100842442241E-2</v>
      </c>
      <c r="F34" s="350"/>
      <c r="G34" s="361" t="s">
        <v>147</v>
      </c>
      <c r="H34" s="362"/>
      <c r="I34" s="362"/>
      <c r="J34" s="362"/>
    </row>
    <row r="35" spans="2:10">
      <c r="B35" s="91"/>
      <c r="C35" s="350"/>
      <c r="D35" s="350"/>
      <c r="E35" s="350"/>
      <c r="F35" s="350"/>
      <c r="G35" s="350"/>
      <c r="H35" s="350"/>
      <c r="I35" s="350"/>
      <c r="J35" s="350"/>
    </row>
    <row r="36" spans="2:10">
      <c r="B36" s="436" t="s">
        <v>178</v>
      </c>
      <c r="C36" s="437"/>
      <c r="D36" s="437"/>
      <c r="E36" s="437"/>
      <c r="F36" s="350"/>
      <c r="G36" s="350"/>
      <c r="H36" s="350"/>
      <c r="I36" s="358" t="s">
        <v>179</v>
      </c>
      <c r="J36" s="358" t="s">
        <v>180</v>
      </c>
    </row>
    <row r="37" spans="2:10">
      <c r="B37" s="436" t="s">
        <v>181</v>
      </c>
      <c r="C37" s="438"/>
      <c r="D37" s="438"/>
      <c r="E37" s="437"/>
      <c r="F37" s="350"/>
      <c r="G37" s="352" t="s">
        <v>182</v>
      </c>
      <c r="H37" s="350"/>
      <c r="I37" s="354">
        <f>E24</f>
        <v>5.5999999999999994E-2</v>
      </c>
      <c r="J37" s="354">
        <f>E30</f>
        <v>2.2397851069871626E-2</v>
      </c>
    </row>
    <row r="38" spans="2:10">
      <c r="B38" s="436" t="s">
        <v>183</v>
      </c>
      <c r="C38" s="438"/>
      <c r="D38" s="438"/>
      <c r="E38" s="437"/>
      <c r="F38" s="350"/>
      <c r="G38" s="363" t="s">
        <v>184</v>
      </c>
      <c r="H38" s="358"/>
      <c r="I38" s="357">
        <f>J25</f>
        <v>0.12256495669961989</v>
      </c>
      <c r="J38" s="357">
        <f>E31</f>
        <v>0.97760214893012842</v>
      </c>
    </row>
    <row r="39" spans="2:10">
      <c r="B39" s="436" t="s">
        <v>185</v>
      </c>
      <c r="C39" s="438"/>
      <c r="D39" s="438"/>
      <c r="E39" s="437"/>
      <c r="F39" s="350"/>
      <c r="G39" s="342" t="s">
        <v>147</v>
      </c>
      <c r="H39" s="364"/>
      <c r="I39" s="364"/>
      <c r="J39" s="403">
        <f>SUMPRODUCT(I37:I38,J37:J38)</f>
        <v>0.12107404471298937</v>
      </c>
    </row>
    <row r="40" spans="2:10">
      <c r="C40" s="365"/>
      <c r="D40" s="365"/>
      <c r="E40" s="365"/>
      <c r="F40" s="365"/>
      <c r="G40" s="365"/>
      <c r="H40" s="365"/>
      <c r="I40" s="365"/>
      <c r="J40" s="36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BF36-D9C8-479D-B433-F433AE1962F6}">
  <dimension ref="A2:M45"/>
  <sheetViews>
    <sheetView showGridLines="0" topLeftCell="A14" zoomScale="83" workbookViewId="0">
      <selection activeCell="L21" sqref="L21"/>
    </sheetView>
  </sheetViews>
  <sheetFormatPr defaultRowHeight="13.8"/>
  <cols>
    <col min="1" max="1" width="4" customWidth="1"/>
    <col min="2" max="2" width="24.75" customWidth="1"/>
    <col min="3" max="3" width="5.25" customWidth="1"/>
    <col min="4" max="4" width="5.5" customWidth="1"/>
    <col min="5" max="5" width="14.25" bestFit="1" customWidth="1"/>
    <col min="6" max="9" width="12.5" customWidth="1"/>
    <col min="10" max="10" width="9.625" bestFit="1" customWidth="1"/>
    <col min="11" max="11" width="10.25" bestFit="1" customWidth="1"/>
  </cols>
  <sheetData>
    <row r="2" spans="2:13" ht="14.4">
      <c r="B2" s="164"/>
      <c r="C2" s="164"/>
      <c r="D2" s="164"/>
      <c r="E2" s="164"/>
      <c r="F2" s="193">
        <v>0</v>
      </c>
      <c r="G2" s="193">
        <v>0.5</v>
      </c>
      <c r="H2" s="193">
        <v>1.5</v>
      </c>
      <c r="I2" s="193">
        <v>2.5</v>
      </c>
      <c r="J2" s="193">
        <v>3.5</v>
      </c>
      <c r="K2" s="193">
        <v>4.5</v>
      </c>
    </row>
    <row r="3" spans="2:13" ht="14.4">
      <c r="B3" s="168" t="s">
        <v>295</v>
      </c>
      <c r="C3" s="169"/>
      <c r="D3" s="169"/>
      <c r="E3" s="169"/>
      <c r="F3" s="170">
        <f>'Intrinsic Growth'!I41</f>
        <v>46082</v>
      </c>
      <c r="G3" s="170">
        <f>F3+365</f>
        <v>46447</v>
      </c>
      <c r="H3" s="170">
        <f>G3+366</f>
        <v>46813</v>
      </c>
      <c r="I3" s="170">
        <f t="shared" ref="I3:K3" si="0">H3+365</f>
        <v>47178</v>
      </c>
      <c r="J3" s="170">
        <f t="shared" si="0"/>
        <v>47543</v>
      </c>
      <c r="K3" s="170">
        <f t="shared" si="0"/>
        <v>47908</v>
      </c>
    </row>
    <row r="4" spans="2:13" ht="14.4">
      <c r="B4" s="164"/>
      <c r="C4" s="164"/>
      <c r="D4" s="164"/>
      <c r="E4" s="164"/>
      <c r="F4" s="164"/>
      <c r="G4" s="164"/>
      <c r="H4" s="164"/>
      <c r="I4" s="164"/>
      <c r="J4" s="164"/>
      <c r="K4" s="164"/>
    </row>
    <row r="5" spans="2:13" ht="14.4">
      <c r="B5" s="164" t="s">
        <v>282</v>
      </c>
      <c r="C5" s="164"/>
      <c r="D5" s="164"/>
      <c r="E5" s="164"/>
      <c r="F5" s="194">
        <f>'Intrinsic Growth'!I46</f>
        <v>502.23000000000025</v>
      </c>
      <c r="G5" s="194">
        <f>F5*(1+$E$19)</f>
        <v>577.56450000000029</v>
      </c>
      <c r="H5" s="194">
        <f t="shared" ref="H5:K5" si="1">G5*(1+$E$19)</f>
        <v>664.19917500000031</v>
      </c>
      <c r="I5" s="194">
        <f t="shared" si="1"/>
        <v>763.82905125000025</v>
      </c>
      <c r="J5" s="194">
        <f t="shared" si="1"/>
        <v>878.40340893750022</v>
      </c>
      <c r="K5" s="194">
        <f t="shared" si="1"/>
        <v>1010.1639202781251</v>
      </c>
    </row>
    <row r="6" spans="2:13" ht="14.4">
      <c r="B6" s="164"/>
      <c r="C6" s="164"/>
      <c r="D6" s="164"/>
      <c r="E6" s="164"/>
      <c r="F6" s="164"/>
      <c r="G6" s="164"/>
      <c r="H6" s="164"/>
      <c r="I6" s="164"/>
      <c r="J6" s="164"/>
      <c r="K6" s="164"/>
    </row>
    <row r="7" spans="2:13" ht="14.4">
      <c r="B7" s="164" t="s">
        <v>164</v>
      </c>
      <c r="C7" s="164"/>
      <c r="D7" s="164"/>
      <c r="E7" s="164"/>
      <c r="F7" s="196">
        <v>0.3</v>
      </c>
      <c r="G7" s="196">
        <v>0.3</v>
      </c>
      <c r="H7" s="196">
        <v>0.3</v>
      </c>
      <c r="I7" s="196">
        <v>0.3</v>
      </c>
      <c r="J7" s="196">
        <v>0.3</v>
      </c>
      <c r="K7" s="196">
        <v>0.3</v>
      </c>
    </row>
    <row r="8" spans="2:13" ht="14.4">
      <c r="B8" s="164"/>
      <c r="C8" s="164"/>
      <c r="D8" s="164"/>
      <c r="E8" s="164"/>
      <c r="F8" s="164"/>
      <c r="G8" s="164"/>
      <c r="H8" s="164"/>
      <c r="I8" s="164"/>
      <c r="J8" s="164"/>
      <c r="K8" s="164"/>
    </row>
    <row r="9" spans="2:13" ht="14.4">
      <c r="B9" s="164" t="s">
        <v>296</v>
      </c>
      <c r="C9" s="164"/>
      <c r="D9" s="164"/>
      <c r="E9" s="164"/>
      <c r="F9" s="194">
        <f>F5*(1-F7)</f>
        <v>351.56100000000015</v>
      </c>
      <c r="G9" s="194">
        <f t="shared" ref="G9:K9" si="2">G5*(1-G7)</f>
        <v>404.29515000000021</v>
      </c>
      <c r="H9" s="194">
        <f t="shared" si="2"/>
        <v>464.93942250000021</v>
      </c>
      <c r="I9" s="194">
        <f t="shared" si="2"/>
        <v>534.6803358750002</v>
      </c>
      <c r="J9" s="194">
        <f t="shared" si="2"/>
        <v>614.88238625625013</v>
      </c>
      <c r="K9" s="194">
        <f t="shared" si="2"/>
        <v>707.11474419468755</v>
      </c>
    </row>
    <row r="10" spans="2:13" ht="14.4">
      <c r="B10" s="164"/>
      <c r="C10" s="164"/>
      <c r="D10" s="164"/>
      <c r="E10" s="164"/>
      <c r="F10" s="164"/>
      <c r="G10" s="164"/>
      <c r="H10" s="164"/>
      <c r="I10" s="164"/>
      <c r="J10" s="164"/>
      <c r="K10" s="164"/>
    </row>
    <row r="11" spans="2:13" ht="14.4">
      <c r="B11" s="195" t="s">
        <v>297</v>
      </c>
      <c r="C11" s="164"/>
      <c r="D11" s="164"/>
      <c r="E11" s="164"/>
      <c r="F11" s="196">
        <v>0.63949999999999996</v>
      </c>
      <c r="G11" s="196">
        <v>0.63949999999999996</v>
      </c>
      <c r="H11" s="196">
        <v>0.63949999999999996</v>
      </c>
      <c r="I11" s="196">
        <v>0.63949999999999996</v>
      </c>
      <c r="J11" s="196">
        <v>0.63949999999999996</v>
      </c>
      <c r="K11" s="196">
        <v>0.63949999999999996</v>
      </c>
    </row>
    <row r="12" spans="2:13" ht="15" thickBot="1">
      <c r="B12" s="163"/>
      <c r="C12" s="163"/>
      <c r="D12" s="163"/>
      <c r="E12" s="163"/>
      <c r="F12" s="163"/>
      <c r="G12" s="163"/>
      <c r="H12" s="163"/>
      <c r="I12" s="163"/>
      <c r="J12" s="163"/>
      <c r="K12" s="163"/>
    </row>
    <row r="13" spans="2:13" ht="15" thickBot="1">
      <c r="B13" s="166" t="s">
        <v>298</v>
      </c>
      <c r="C13" s="163"/>
      <c r="D13" s="163"/>
      <c r="E13" s="163"/>
      <c r="F13" s="167">
        <f>F9*(1-F11)</f>
        <v>126.73774050000007</v>
      </c>
      <c r="G13" s="167">
        <f t="shared" ref="G13:K13" si="3">G9*(1-G11)</f>
        <v>145.74840157500009</v>
      </c>
      <c r="H13" s="167">
        <f t="shared" si="3"/>
        <v>167.61066181125008</v>
      </c>
      <c r="I13" s="167">
        <f t="shared" si="3"/>
        <v>192.75226108293759</v>
      </c>
      <c r="J13" s="167">
        <f t="shared" si="3"/>
        <v>221.6651002453782</v>
      </c>
      <c r="K13" s="167">
        <f t="shared" si="3"/>
        <v>254.91486528218488</v>
      </c>
    </row>
    <row r="14" spans="2:13" ht="14.4">
      <c r="B14" s="164"/>
      <c r="C14" s="164"/>
      <c r="D14" s="164"/>
      <c r="E14" s="164"/>
      <c r="F14" s="164"/>
      <c r="G14" s="164"/>
      <c r="H14" s="164"/>
      <c r="I14" s="164"/>
      <c r="J14" s="164"/>
      <c r="K14" s="164"/>
    </row>
    <row r="15" spans="2:13" ht="14.4">
      <c r="B15" s="195" t="s">
        <v>299</v>
      </c>
      <c r="C15" s="164"/>
      <c r="D15" s="164"/>
      <c r="E15" s="164"/>
      <c r="F15" s="375">
        <f>1/(1+$E$26)^F2</f>
        <v>1</v>
      </c>
      <c r="G15" s="411">
        <f t="shared" ref="G15:K15" si="4">1/(1+$E$26)^G2</f>
        <v>0.94445843809607799</v>
      </c>
      <c r="H15" s="411">
        <f t="shared" si="4"/>
        <v>0.84245857135856939</v>
      </c>
      <c r="I15" s="411">
        <f t="shared" si="4"/>
        <v>0.7514745126172736</v>
      </c>
      <c r="J15" s="411">
        <f t="shared" si="4"/>
        <v>0.67031657379032583</v>
      </c>
      <c r="K15" s="411">
        <f t="shared" si="4"/>
        <v>0.59792355103710948</v>
      </c>
      <c r="L15" s="125"/>
      <c r="M15" s="125"/>
    </row>
    <row r="16" spans="2:13" ht="15" thickBot="1">
      <c r="B16" s="163"/>
      <c r="C16" s="163"/>
      <c r="D16" s="163"/>
      <c r="E16" s="163"/>
      <c r="F16" s="377"/>
      <c r="G16" s="377"/>
      <c r="H16" s="377"/>
      <c r="I16" s="377"/>
      <c r="J16" s="377"/>
      <c r="K16" s="377"/>
      <c r="L16" s="125"/>
      <c r="M16" s="125"/>
    </row>
    <row r="17" spans="2:13" ht="15" thickBot="1">
      <c r="B17" s="166" t="s">
        <v>300</v>
      </c>
      <c r="C17" s="163"/>
      <c r="D17" s="163"/>
      <c r="E17" s="163"/>
      <c r="F17" s="378">
        <f>F13*F15</f>
        <v>126.73774050000007</v>
      </c>
      <c r="G17" s="378">
        <f t="shared" ref="G17:K17" si="5">G13*G15</f>
        <v>137.65330770652454</v>
      </c>
      <c r="H17" s="378">
        <f t="shared" si="5"/>
        <v>141.20503869397007</v>
      </c>
      <c r="I17" s="378">
        <f t="shared" si="5"/>
        <v>144.84841145317802</v>
      </c>
      <c r="J17" s="378">
        <f t="shared" si="5"/>
        <v>148.58579052537104</v>
      </c>
      <c r="K17" s="378">
        <f t="shared" si="5"/>
        <v>152.41960146167037</v>
      </c>
      <c r="L17" s="125"/>
      <c r="M17" s="125"/>
    </row>
    <row r="18" spans="2:13" ht="14.4">
      <c r="B18" s="164"/>
      <c r="C18" s="164"/>
      <c r="D18" s="164"/>
      <c r="E18" s="164"/>
      <c r="F18" s="373"/>
      <c r="G18" s="373"/>
      <c r="H18" s="373"/>
      <c r="I18" s="373"/>
      <c r="J18" s="373"/>
      <c r="K18" s="373"/>
      <c r="L18" s="125"/>
      <c r="M18" s="125"/>
    </row>
    <row r="19" spans="2:13" ht="14.4">
      <c r="B19" s="342" t="s">
        <v>301</v>
      </c>
      <c r="C19" s="343"/>
      <c r="D19" s="343"/>
      <c r="E19" s="344">
        <v>0.15</v>
      </c>
      <c r="F19" s="373"/>
      <c r="G19" s="373"/>
      <c r="H19" s="373"/>
      <c r="I19" s="373"/>
      <c r="J19" s="373"/>
      <c r="K19" s="373"/>
      <c r="L19" s="125"/>
      <c r="M19" s="125"/>
    </row>
    <row r="20" spans="2:13" ht="14.4">
      <c r="B20" s="342" t="s">
        <v>302</v>
      </c>
      <c r="C20" s="343"/>
      <c r="D20" s="343"/>
      <c r="E20" s="344">
        <v>0.05</v>
      </c>
      <c r="F20" s="373"/>
      <c r="G20" s="373"/>
      <c r="H20" s="373"/>
      <c r="I20" s="373"/>
      <c r="J20" s="373"/>
      <c r="K20" s="373"/>
      <c r="L20" s="125"/>
      <c r="M20" s="125"/>
    </row>
    <row r="21" spans="2:13" ht="14.4">
      <c r="B21" s="164"/>
      <c r="C21" s="164"/>
      <c r="D21" s="164"/>
      <c r="E21" s="164"/>
      <c r="F21" s="373"/>
      <c r="G21" s="373"/>
      <c r="H21" s="373"/>
      <c r="I21" s="373"/>
      <c r="J21" s="373"/>
      <c r="K21" s="373"/>
      <c r="L21" s="125"/>
      <c r="M21" s="125"/>
    </row>
    <row r="22" spans="2:13" ht="14.4">
      <c r="B22" s="164"/>
      <c r="C22" s="164"/>
      <c r="D22" s="164"/>
      <c r="E22" s="164"/>
      <c r="F22" s="373"/>
      <c r="G22" s="373"/>
      <c r="H22" s="373"/>
      <c r="I22" s="373"/>
      <c r="J22" s="373"/>
      <c r="K22" s="373"/>
      <c r="L22" s="125"/>
      <c r="M22" s="125"/>
    </row>
    <row r="23" spans="2:13" ht="14.4">
      <c r="B23" s="168" t="s">
        <v>303</v>
      </c>
      <c r="C23" s="169"/>
      <c r="D23" s="169"/>
      <c r="E23" s="169"/>
      <c r="F23" s="373"/>
      <c r="G23" s="379" t="s">
        <v>318</v>
      </c>
      <c r="H23" s="425" t="s">
        <v>383</v>
      </c>
      <c r="I23" s="169"/>
      <c r="J23" s="169"/>
      <c r="K23" s="169"/>
      <c r="L23" s="125"/>
      <c r="M23" s="125"/>
    </row>
    <row r="24" spans="2:13" ht="14.4">
      <c r="B24" s="164"/>
      <c r="C24" s="164"/>
      <c r="D24" s="164"/>
      <c r="E24" s="164"/>
      <c r="F24" s="373"/>
      <c r="G24" s="412">
        <f>E36</f>
        <v>2976.4565409335314</v>
      </c>
      <c r="H24" s="369">
        <v>0.03</v>
      </c>
      <c r="I24" s="369">
        <v>0.04</v>
      </c>
      <c r="J24" s="369">
        <v>0.05</v>
      </c>
      <c r="K24" s="369">
        <v>0.06</v>
      </c>
      <c r="L24" s="380"/>
      <c r="M24" s="125"/>
    </row>
    <row r="25" spans="2:13" ht="14.4">
      <c r="B25" s="195" t="s">
        <v>304</v>
      </c>
      <c r="C25" s="164"/>
      <c r="D25" s="164"/>
      <c r="E25" s="194">
        <f>K13*(1+E27)</f>
        <v>267.66060854629416</v>
      </c>
      <c r="F25" s="164"/>
      <c r="G25" s="369">
        <v>0.1</v>
      </c>
      <c r="H25" s="198">
        <f t="dataTable" ref="H25:K31" dt2D="1" dtr="1" r1="E27" r2="E26"/>
        <v>3203.6153476129261</v>
      </c>
      <c r="I25" s="198">
        <v>3638.3972650562073</v>
      </c>
      <c r="J25" s="198">
        <v>4247.0919494768023</v>
      </c>
      <c r="K25" s="198">
        <v>5160.1339761076924</v>
      </c>
    </row>
    <row r="26" spans="2:13" ht="14.4">
      <c r="B26" s="164" t="s">
        <v>305</v>
      </c>
      <c r="C26" s="164"/>
      <c r="D26" s="164"/>
      <c r="E26" s="370">
        <f>'WACC-DCF'!J39</f>
        <v>0.12107404471298937</v>
      </c>
      <c r="F26" s="164"/>
      <c r="G26" s="369">
        <v>0.11</v>
      </c>
      <c r="H26" s="198">
        <v>2795.4269783588679</v>
      </c>
      <c r="I26" s="198">
        <v>3111.3466789980921</v>
      </c>
      <c r="J26" s="198">
        <v>3532.5729465170589</v>
      </c>
      <c r="K26" s="198">
        <v>4122.2897210436095</v>
      </c>
    </row>
    <row r="27" spans="2:13" ht="14.4">
      <c r="B27" s="195" t="s">
        <v>306</v>
      </c>
      <c r="C27" s="164"/>
      <c r="D27" s="164"/>
      <c r="E27" s="370">
        <f>E20</f>
        <v>0.05</v>
      </c>
      <c r="F27" s="164"/>
      <c r="G27" s="372">
        <v>0.12107404471298937</v>
      </c>
      <c r="H27" s="198">
        <v>2448.4984382422608</v>
      </c>
      <c r="I27" s="198">
        <v>2679.9172476164795</v>
      </c>
      <c r="J27" s="371">
        <v>2976.4565409335314</v>
      </c>
      <c r="K27" s="198">
        <v>3370.1039575820578</v>
      </c>
    </row>
    <row r="28" spans="2:13" ht="15" thickBot="1">
      <c r="B28" s="163"/>
      <c r="C28" s="163"/>
      <c r="D28" s="163"/>
      <c r="E28" s="163"/>
      <c r="F28" s="164"/>
      <c r="G28" s="369">
        <v>0.13</v>
      </c>
      <c r="H28" s="198">
        <v>2225.1271786204343</v>
      </c>
      <c r="I28" s="198">
        <v>2409.7894190314846</v>
      </c>
      <c r="J28" s="198">
        <v>2640.6172195452973</v>
      </c>
      <c r="K28" s="198">
        <v>2937.395820205913</v>
      </c>
    </row>
    <row r="29" spans="2:13" ht="15" thickBot="1">
      <c r="B29" s="166" t="s">
        <v>307</v>
      </c>
      <c r="C29" s="163"/>
      <c r="D29" s="163"/>
      <c r="E29" s="413">
        <f>E25/(E26-E27)</f>
        <v>3765.9402898365934</v>
      </c>
      <c r="F29" s="164"/>
      <c r="G29" s="369">
        <v>0.14000000000000001</v>
      </c>
      <c r="H29" s="368">
        <v>2018.2429901584369</v>
      </c>
      <c r="I29" s="368">
        <v>2164.7422724701537</v>
      </c>
      <c r="J29" s="368">
        <v>2343.796950851141</v>
      </c>
      <c r="K29" s="368">
        <v>2567.6152988273748</v>
      </c>
    </row>
    <row r="30" spans="2:13" ht="14.4">
      <c r="B30" s="164"/>
      <c r="C30" s="164"/>
      <c r="D30" s="164"/>
      <c r="E30" s="164"/>
      <c r="F30" s="164"/>
      <c r="G30" s="369">
        <v>0.15</v>
      </c>
      <c r="H30" s="198">
        <v>1846.1255748092096</v>
      </c>
      <c r="I30" s="198">
        <v>1964.5329596965826</v>
      </c>
      <c r="J30" s="198">
        <v>2106.6218215614299</v>
      </c>
      <c r="K30" s="198">
        <v>2280.2859860629096</v>
      </c>
    </row>
    <row r="31" spans="2:13" ht="14.4">
      <c r="B31" s="164"/>
      <c r="C31" s="164"/>
      <c r="D31" s="164"/>
      <c r="E31" s="164"/>
      <c r="F31" s="164"/>
      <c r="G31" s="369">
        <v>0.16</v>
      </c>
      <c r="H31" s="198">
        <v>1700.7401870614103</v>
      </c>
      <c r="I31" s="198">
        <v>1797.9404861592891</v>
      </c>
      <c r="J31" s="198">
        <v>1912.8135669113278</v>
      </c>
      <c r="K31" s="198">
        <v>2050.661263813774</v>
      </c>
    </row>
    <row r="32" spans="2:13" ht="14.4">
      <c r="B32" s="168" t="s">
        <v>308</v>
      </c>
      <c r="C32" s="169"/>
      <c r="D32" s="169"/>
      <c r="E32" s="169"/>
      <c r="F32" s="164"/>
      <c r="G32" s="164"/>
      <c r="H32" s="164"/>
      <c r="I32" s="164"/>
      <c r="J32" s="164"/>
      <c r="K32" s="164"/>
    </row>
    <row r="33" spans="1:11" ht="14.4">
      <c r="A33" s="125"/>
      <c r="B33" s="373"/>
      <c r="C33" s="373"/>
      <c r="D33" s="373"/>
      <c r="E33" s="373"/>
      <c r="F33" s="373"/>
      <c r="G33" s="164"/>
      <c r="H33" s="164"/>
      <c r="I33" s="164"/>
      <c r="J33" s="164"/>
      <c r="K33" s="164"/>
    </row>
    <row r="34" spans="1:11" ht="14.4">
      <c r="A34" s="125"/>
      <c r="B34" s="374" t="s">
        <v>300</v>
      </c>
      <c r="C34" s="373"/>
      <c r="D34" s="373"/>
      <c r="E34" s="414">
        <f>SUM(G17:K17)</f>
        <v>724.71214984071401</v>
      </c>
      <c r="F34" s="373"/>
      <c r="G34" s="164"/>
      <c r="H34" s="164"/>
      <c r="I34" s="164"/>
      <c r="J34" s="164"/>
      <c r="K34" s="164"/>
    </row>
    <row r="35" spans="1:11" ht="14.4">
      <c r="A35" s="125"/>
      <c r="B35" s="374" t="s">
        <v>309</v>
      </c>
      <c r="C35" s="373"/>
      <c r="D35" s="373"/>
      <c r="E35" s="375">
        <f>E29*K15</f>
        <v>2251.7443910928173</v>
      </c>
      <c r="F35" s="373"/>
      <c r="G35" s="164"/>
      <c r="H35" s="164"/>
      <c r="I35" s="164"/>
      <c r="J35" s="164"/>
      <c r="K35" s="164"/>
    </row>
    <row r="36" spans="1:11" ht="14.4">
      <c r="A36" s="125"/>
      <c r="B36" s="427" t="s">
        <v>310</v>
      </c>
      <c r="C36" s="428"/>
      <c r="D36" s="428"/>
      <c r="E36" s="429">
        <f>SUM(E34:E35)</f>
        <v>2976.4565409335314</v>
      </c>
      <c r="F36" s="373"/>
      <c r="G36" s="164"/>
      <c r="H36" s="164"/>
      <c r="I36" s="164"/>
      <c r="J36" s="164"/>
      <c r="K36" s="164"/>
    </row>
    <row r="37" spans="1:11" ht="14.4">
      <c r="A37" s="125"/>
      <c r="B37" s="373"/>
      <c r="C37" s="373"/>
      <c r="D37" s="373"/>
      <c r="E37" s="373"/>
      <c r="F37" s="373"/>
      <c r="G37" s="164"/>
      <c r="H37" s="164"/>
      <c r="I37" s="164"/>
      <c r="J37" s="164"/>
      <c r="K37" s="164"/>
    </row>
    <row r="38" spans="1:11" ht="14.4">
      <c r="A38" s="125"/>
      <c r="B38" s="374" t="s">
        <v>311</v>
      </c>
      <c r="C38" s="373"/>
      <c r="D38" s="373"/>
      <c r="E38" s="375">
        <f>'Data Sheet'!K69</f>
        <v>989.65</v>
      </c>
      <c r="F38" s="373"/>
      <c r="G38" s="164"/>
      <c r="H38" s="164"/>
      <c r="I38" s="164"/>
      <c r="J38" s="164"/>
      <c r="K38" s="164"/>
    </row>
    <row r="39" spans="1:11" ht="14.4">
      <c r="A39" s="125"/>
      <c r="B39" s="374" t="s">
        <v>312</v>
      </c>
      <c r="C39" s="373"/>
      <c r="D39" s="373"/>
      <c r="E39" s="375">
        <f>'Main Financials'!J55</f>
        <v>343.38</v>
      </c>
      <c r="F39" s="373"/>
      <c r="G39" s="164"/>
      <c r="H39" s="164"/>
      <c r="I39" s="164"/>
      <c r="J39" s="164"/>
      <c r="K39" s="164"/>
    </row>
    <row r="40" spans="1:11" ht="14.4">
      <c r="A40" s="125"/>
      <c r="B40" s="427" t="s">
        <v>313</v>
      </c>
      <c r="C40" s="428"/>
      <c r="D40" s="428"/>
      <c r="E40" s="429">
        <f>E36+E38-E39</f>
        <v>3622.7265409335314</v>
      </c>
      <c r="F40" s="373"/>
      <c r="G40" s="164"/>
      <c r="H40" s="164"/>
      <c r="I40" s="164"/>
      <c r="J40" s="164"/>
      <c r="K40" s="164"/>
    </row>
    <row r="41" spans="1:11" ht="14.4">
      <c r="A41" s="125"/>
      <c r="B41" s="374" t="s">
        <v>314</v>
      </c>
      <c r="C41" s="373"/>
      <c r="D41" s="373"/>
      <c r="E41" s="376">
        <f>'Data Sheet'!B6</f>
        <v>45.316369778869777</v>
      </c>
      <c r="F41" s="373"/>
      <c r="G41" s="164"/>
      <c r="H41" s="164"/>
      <c r="I41" s="164"/>
      <c r="J41" s="164"/>
      <c r="K41" s="164"/>
    </row>
    <row r="42" spans="1:11" ht="14.4">
      <c r="A42" s="125"/>
      <c r="B42" s="427" t="s">
        <v>315</v>
      </c>
      <c r="C42" s="430"/>
      <c r="D42" s="430"/>
      <c r="E42" s="431">
        <f>E40/E41</f>
        <v>79.942999816872899</v>
      </c>
      <c r="F42" s="373"/>
      <c r="G42" s="164"/>
      <c r="H42" s="164"/>
      <c r="I42" s="164"/>
      <c r="J42" s="164"/>
      <c r="K42" s="164"/>
    </row>
    <row r="43" spans="1:11">
      <c r="A43" s="125"/>
      <c r="B43" s="125"/>
      <c r="C43" s="125"/>
      <c r="D43" s="125"/>
      <c r="E43" s="125"/>
      <c r="F43" s="125"/>
    </row>
    <row r="44" spans="1:11">
      <c r="A44" s="125"/>
      <c r="B44" s="432" t="s">
        <v>316</v>
      </c>
      <c r="C44" s="432"/>
      <c r="D44" s="432"/>
      <c r="E44" s="433">
        <v>309</v>
      </c>
      <c r="F44" s="125"/>
    </row>
    <row r="45" spans="1:11">
      <c r="A45" s="125"/>
      <c r="B45" s="434" t="s">
        <v>317</v>
      </c>
      <c r="C45" s="434"/>
      <c r="D45" s="434"/>
      <c r="E45" s="435">
        <f>E44/E42</f>
        <v>3.8652540023245656</v>
      </c>
      <c r="F45" s="12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FC24-8C16-4A57-B9D2-0F7BEA2361F2}">
  <dimension ref="A1:AD97"/>
  <sheetViews>
    <sheetView showGridLines="0" zoomScale="65" zoomScaleNormal="145" workbookViewId="0">
      <selection activeCell="S28" sqref="S28"/>
    </sheetView>
  </sheetViews>
  <sheetFormatPr defaultColWidth="10.875" defaultRowHeight="14.4" outlineLevelRow="1" outlineLevelCol="1"/>
  <cols>
    <col min="1" max="1" width="4.125" style="228" customWidth="1"/>
    <col min="2" max="4" width="15.625" style="228" customWidth="1"/>
    <col min="5" max="5" width="15.625" style="228" customWidth="1" outlineLevel="1"/>
    <col min="6" max="8" width="10.875" style="228" customWidth="1" outlineLevel="1"/>
    <col min="9" max="9" width="14.5" style="228" bestFit="1" customWidth="1" outlineLevel="1"/>
    <col min="10" max="10" width="11.875" style="228" customWidth="1"/>
    <col min="11" max="11" width="15.625" style="228" bestFit="1" customWidth="1"/>
    <col min="12" max="12" width="10" style="228" bestFit="1" customWidth="1"/>
    <col min="13" max="13" width="10.875" style="228" customWidth="1"/>
    <col min="14" max="14" width="13.5" style="228" bestFit="1" customWidth="1"/>
    <col min="15" max="18" width="10.875" style="228" customWidth="1"/>
    <col min="19" max="21" width="10.875" style="228"/>
    <col min="22" max="26" width="11.75" style="228" bestFit="1" customWidth="1"/>
    <col min="27" max="27" width="13.5" style="228" bestFit="1" customWidth="1"/>
    <col min="28" max="29" width="10.875" style="228"/>
    <col min="30" max="30" width="11.625" style="228" bestFit="1" customWidth="1"/>
    <col min="31" max="16384" width="10.875" style="228"/>
  </cols>
  <sheetData>
    <row r="1" spans="1:28"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</row>
    <row r="2" spans="1:28" s="230" customFormat="1" ht="21">
      <c r="B2" s="381"/>
      <c r="P2" s="382"/>
      <c r="Q2" s="383"/>
      <c r="R2" s="384"/>
      <c r="S2" s="383"/>
      <c r="T2" s="383"/>
      <c r="U2" s="383"/>
      <c r="V2" s="383"/>
      <c r="W2" s="383"/>
      <c r="X2" s="383"/>
      <c r="Y2" s="383"/>
      <c r="Z2" s="383"/>
      <c r="AA2" s="383"/>
      <c r="AB2" s="275"/>
    </row>
    <row r="3" spans="1:28">
      <c r="P3" s="270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276"/>
    </row>
    <row r="4" spans="1:28">
      <c r="A4" s="228" t="s">
        <v>354</v>
      </c>
      <c r="B4" s="228" t="s">
        <v>324</v>
      </c>
      <c r="C4" s="274" t="s">
        <v>375</v>
      </c>
      <c r="G4" s="273"/>
      <c r="M4" s="268"/>
      <c r="P4" s="270"/>
      <c r="Q4" s="385"/>
      <c r="R4" s="386"/>
      <c r="S4" s="385"/>
      <c r="T4" s="385"/>
      <c r="U4" s="385"/>
      <c r="V4" s="385"/>
      <c r="W4" s="385"/>
      <c r="X4" s="385"/>
      <c r="Y4" s="385"/>
      <c r="Z4" s="385"/>
      <c r="AA4" s="385"/>
      <c r="AB4" s="276"/>
    </row>
    <row r="5" spans="1:28">
      <c r="B5" s="270"/>
      <c r="C5" s="272"/>
      <c r="D5" s="270"/>
      <c r="E5" s="270"/>
      <c r="F5" s="270"/>
      <c r="G5" s="271"/>
      <c r="H5" s="270"/>
      <c r="I5" s="270"/>
      <c r="J5" s="270"/>
      <c r="K5" s="269"/>
      <c r="M5" s="268"/>
      <c r="P5" s="270"/>
      <c r="Q5" s="385"/>
      <c r="R5" s="386"/>
      <c r="S5" s="385"/>
      <c r="T5" s="385"/>
      <c r="U5" s="385"/>
      <c r="V5" s="385"/>
      <c r="W5" s="385"/>
      <c r="X5" s="385"/>
      <c r="Y5" s="385"/>
      <c r="Z5" s="385"/>
      <c r="AA5" s="385"/>
      <c r="AB5" s="276"/>
    </row>
    <row r="6" spans="1:28">
      <c r="P6" s="270"/>
      <c r="Q6" s="385"/>
      <c r="R6" s="386"/>
      <c r="S6" s="385"/>
      <c r="T6" s="385"/>
      <c r="U6" s="385"/>
      <c r="V6" s="385"/>
      <c r="W6" s="385"/>
      <c r="X6" s="385"/>
      <c r="Y6" s="385"/>
      <c r="Z6" s="385"/>
      <c r="AA6" s="385"/>
      <c r="AB6" s="276"/>
    </row>
    <row r="7" spans="1:28">
      <c r="A7" s="228" t="s">
        <v>354</v>
      </c>
      <c r="B7" s="318" t="s">
        <v>374</v>
      </c>
      <c r="C7" s="319"/>
      <c r="D7" s="319"/>
      <c r="E7" s="319"/>
      <c r="F7" s="319"/>
      <c r="G7" s="319"/>
      <c r="H7" s="319"/>
      <c r="I7" s="319"/>
      <c r="J7" s="319"/>
      <c r="K7" s="319"/>
      <c r="L7" s="319"/>
      <c r="M7" s="319"/>
      <c r="N7" s="319"/>
      <c r="P7" s="270"/>
      <c r="Q7" s="385"/>
      <c r="R7" s="385"/>
      <c r="S7" s="385"/>
      <c r="T7" s="385"/>
      <c r="U7" s="385"/>
      <c r="V7" s="385"/>
      <c r="W7" s="385"/>
      <c r="X7" s="385"/>
      <c r="Y7" s="385"/>
      <c r="Z7" s="385"/>
      <c r="AA7" s="385"/>
      <c r="AB7" s="276"/>
    </row>
    <row r="8" spans="1:28">
      <c r="B8" s="229" t="s">
        <v>373</v>
      </c>
      <c r="P8" s="270"/>
      <c r="Q8" s="388"/>
      <c r="R8" s="388"/>
      <c r="S8" s="388"/>
      <c r="T8" s="389"/>
      <c r="U8" s="388"/>
      <c r="V8" s="388"/>
      <c r="W8" s="385"/>
      <c r="X8" s="385"/>
      <c r="Y8" s="385"/>
      <c r="Z8" s="385"/>
      <c r="AA8" s="385"/>
      <c r="AB8" s="276"/>
    </row>
    <row r="9" spans="1:28">
      <c r="B9" s="228" t="s">
        <v>305</v>
      </c>
      <c r="D9" s="400">
        <f>'WACC-DCF'!J39</f>
        <v>0.12107404471298937</v>
      </c>
      <c r="P9" s="270"/>
      <c r="Q9" s="388"/>
      <c r="R9" s="388"/>
      <c r="S9" s="388"/>
      <c r="T9" s="390"/>
      <c r="U9" s="388"/>
      <c r="V9" s="388"/>
      <c r="W9" s="385"/>
      <c r="X9" s="385"/>
      <c r="Y9" s="385"/>
      <c r="Z9" s="385"/>
      <c r="AA9" s="385"/>
      <c r="AB9" s="276"/>
    </row>
    <row r="10" spans="1:28">
      <c r="B10" s="228" t="s">
        <v>372</v>
      </c>
      <c r="D10" s="277">
        <v>0.06</v>
      </c>
      <c r="P10" s="270"/>
      <c r="Q10" s="388"/>
      <c r="R10" s="388"/>
      <c r="S10" s="388"/>
      <c r="T10" s="390"/>
      <c r="U10" s="388"/>
      <c r="V10" s="388"/>
      <c r="W10" s="385"/>
      <c r="X10" s="385"/>
      <c r="Y10" s="385"/>
      <c r="Z10" s="385"/>
      <c r="AA10" s="385"/>
      <c r="AB10" s="276"/>
    </row>
    <row r="11" spans="1:28">
      <c r="E11" s="228">
        <v>1</v>
      </c>
      <c r="F11" s="228">
        <f t="shared" ref="F11:I12" si="0">E11+1</f>
        <v>2</v>
      </c>
      <c r="G11" s="228">
        <f t="shared" si="0"/>
        <v>3</v>
      </c>
      <c r="H11" s="228">
        <f t="shared" si="0"/>
        <v>4</v>
      </c>
      <c r="I11" s="228">
        <f t="shared" si="0"/>
        <v>5</v>
      </c>
      <c r="J11" s="228">
        <f t="shared" ref="J11:N11" si="1">I11+1</f>
        <v>6</v>
      </c>
      <c r="K11" s="228">
        <f t="shared" si="1"/>
        <v>7</v>
      </c>
      <c r="L11" s="228">
        <f t="shared" si="1"/>
        <v>8</v>
      </c>
      <c r="M11" s="228">
        <f t="shared" si="1"/>
        <v>9</v>
      </c>
      <c r="N11" s="228">
        <f t="shared" si="1"/>
        <v>10</v>
      </c>
      <c r="P11" s="270"/>
      <c r="Q11" s="388"/>
      <c r="R11" s="388"/>
      <c r="S11" s="388"/>
      <c r="T11" s="390"/>
      <c r="U11" s="388"/>
      <c r="V11" s="388"/>
      <c r="W11" s="385"/>
      <c r="X11" s="385"/>
      <c r="Y11" s="385"/>
      <c r="Z11" s="385"/>
      <c r="AA11" s="385"/>
      <c r="AB11" s="276"/>
    </row>
    <row r="12" spans="1:28" outlineLevel="1">
      <c r="A12" s="228" t="s">
        <v>354</v>
      </c>
      <c r="B12" s="318" t="s">
        <v>59</v>
      </c>
      <c r="C12" s="319"/>
      <c r="D12" s="319"/>
      <c r="E12" s="318">
        <v>2022</v>
      </c>
      <c r="F12" s="318">
        <f t="shared" si="0"/>
        <v>2023</v>
      </c>
      <c r="G12" s="318">
        <f t="shared" si="0"/>
        <v>2024</v>
      </c>
      <c r="H12" s="318">
        <f t="shared" si="0"/>
        <v>2025</v>
      </c>
      <c r="I12" s="320">
        <f t="shared" si="0"/>
        <v>2026</v>
      </c>
      <c r="J12" s="318">
        <f>I12+1</f>
        <v>2027</v>
      </c>
      <c r="K12" s="318">
        <f>J12+1</f>
        <v>2028</v>
      </c>
      <c r="L12" s="318">
        <f>K12+1</f>
        <v>2029</v>
      </c>
      <c r="M12" s="318">
        <f>L12+1</f>
        <v>2030</v>
      </c>
      <c r="N12" s="318">
        <f>M12+1</f>
        <v>2031</v>
      </c>
      <c r="P12" s="270"/>
      <c r="Q12" s="388"/>
      <c r="R12" s="388"/>
      <c r="S12" s="388"/>
      <c r="T12" s="388"/>
      <c r="U12" s="388"/>
      <c r="V12" s="388"/>
      <c r="W12" s="385"/>
      <c r="X12" s="385"/>
      <c r="Y12" s="385"/>
      <c r="Z12" s="385"/>
      <c r="AA12" s="385"/>
      <c r="AB12" s="276"/>
    </row>
    <row r="13" spans="1:28" s="244" customFormat="1" outlineLevel="1">
      <c r="B13" s="244" t="s">
        <v>330</v>
      </c>
      <c r="E13" s="265">
        <f>'Main Financials'!F11</f>
        <v>1490.84</v>
      </c>
      <c r="F13" s="265">
        <f>'Main Financials'!G11</f>
        <v>1852.14</v>
      </c>
      <c r="G13" s="265">
        <f>'Main Financials'!H11</f>
        <v>2177.41</v>
      </c>
      <c r="H13" s="265">
        <f>'Main Financials'!I11</f>
        <v>2622.85</v>
      </c>
      <c r="I13" s="265">
        <f>'Main Financials'!J11</f>
        <v>2950.94</v>
      </c>
      <c r="J13" s="256">
        <f t="array" ref="J13:N13">TRANSPOSE(D75:D79)</f>
        <v>3326.1090000000004</v>
      </c>
      <c r="K13" s="256">
        <v>3695.2000000000003</v>
      </c>
      <c r="L13" s="256">
        <v>4064.2910000000002</v>
      </c>
      <c r="M13" s="256">
        <v>4433.3819999999996</v>
      </c>
      <c r="N13" s="256">
        <v>4802.473</v>
      </c>
      <c r="P13" s="270"/>
      <c r="Q13" s="388"/>
      <c r="R13" s="388"/>
      <c r="S13" s="388"/>
      <c r="T13" s="389"/>
      <c r="U13" s="388"/>
      <c r="V13" s="388"/>
      <c r="W13" s="385"/>
      <c r="X13" s="385"/>
      <c r="Y13" s="385"/>
      <c r="Z13" s="385"/>
      <c r="AA13" s="385"/>
      <c r="AB13" s="276"/>
    </row>
    <row r="14" spans="1:28" s="244" customFormat="1" outlineLevel="1">
      <c r="B14" s="261" t="s">
        <v>369</v>
      </c>
      <c r="E14" s="260"/>
      <c r="F14" s="260">
        <f>F13/E13-1</f>
        <v>0.24234659654959634</v>
      </c>
      <c r="G14" s="260">
        <f>G13/F13-1</f>
        <v>0.17561847376548201</v>
      </c>
      <c r="H14" s="260">
        <f>H13/G13-1</f>
        <v>0.20457332335205591</v>
      </c>
      <c r="I14" s="264">
        <f>I13/H13-1</f>
        <v>0.12508912061307353</v>
      </c>
      <c r="J14" s="304">
        <f>J13/I13-1</f>
        <v>0.12713542125559996</v>
      </c>
      <c r="K14" s="304">
        <f t="shared" ref="K14:N14" si="2">K13/J13-1</f>
        <v>0.11096780051405397</v>
      </c>
      <c r="L14" s="304">
        <f t="shared" si="2"/>
        <v>9.9883903442303579E-2</v>
      </c>
      <c r="M14" s="304">
        <f t="shared" si="2"/>
        <v>9.0813133213148323E-2</v>
      </c>
      <c r="N14" s="304">
        <f t="shared" si="2"/>
        <v>8.3252695120790587E-2</v>
      </c>
      <c r="P14" s="270"/>
      <c r="Q14" s="388"/>
      <c r="R14" s="388"/>
      <c r="S14" s="388"/>
      <c r="T14" s="387"/>
      <c r="U14" s="388"/>
      <c r="V14" s="388"/>
      <c r="W14" s="385"/>
      <c r="X14" s="385"/>
      <c r="Y14" s="385"/>
      <c r="Z14" s="385"/>
      <c r="AA14" s="385"/>
      <c r="AB14" s="276"/>
    </row>
    <row r="15" spans="1:28" s="244" customFormat="1" outlineLevel="1">
      <c r="B15" s="267"/>
      <c r="I15" s="266"/>
      <c r="P15" s="270"/>
      <c r="Q15" s="388"/>
      <c r="R15" s="388"/>
      <c r="S15" s="388"/>
      <c r="T15" s="391"/>
      <c r="U15" s="388"/>
      <c r="V15" s="388"/>
      <c r="W15" s="385"/>
      <c r="X15" s="385"/>
      <c r="Y15" s="385"/>
      <c r="Z15" s="385"/>
      <c r="AA15" s="385"/>
      <c r="AB15" s="276"/>
    </row>
    <row r="16" spans="1:28" s="244" customFormat="1" outlineLevel="1">
      <c r="B16" s="244" t="s">
        <v>282</v>
      </c>
      <c r="E16" s="265">
        <f>'Main Financials'!F23-'Main Financials'!F29</f>
        <v>214.10999999999999</v>
      </c>
      <c r="F16" s="265">
        <f>'Main Financials'!G23-'Main Financials'!G29</f>
        <v>287.74</v>
      </c>
      <c r="G16" s="265">
        <f>'Main Financials'!H23-'Main Financials'!H29</f>
        <v>384.30999999999966</v>
      </c>
      <c r="H16" s="265">
        <f>'Main Financials'!I23-'Main Financials'!I29</f>
        <v>449.32000000000005</v>
      </c>
      <c r="I16" s="265">
        <f>'Main Financials'!J23-'Main Financials'!J29</f>
        <v>502.23000000000025</v>
      </c>
      <c r="J16" s="256">
        <f t="array" ref="J16:N16">TRANSPOSE(I76:I80)</f>
        <v>588.88800000000015</v>
      </c>
      <c r="K16" s="256">
        <v>662.6700000000003</v>
      </c>
      <c r="L16" s="256">
        <v>736.45200000000034</v>
      </c>
      <c r="M16" s="256">
        <v>810.23400000000038</v>
      </c>
      <c r="N16" s="256">
        <v>884.01600000000042</v>
      </c>
      <c r="P16" s="270"/>
      <c r="Q16" s="388"/>
      <c r="R16" s="388"/>
      <c r="S16" s="388"/>
      <c r="T16" s="390"/>
      <c r="U16" s="388"/>
      <c r="V16" s="388"/>
      <c r="W16" s="385"/>
      <c r="X16" s="385"/>
      <c r="Y16" s="385"/>
      <c r="Z16" s="385"/>
      <c r="AA16" s="385"/>
      <c r="AB16" s="276"/>
    </row>
    <row r="17" spans="1:28" s="244" customFormat="1" outlineLevel="1">
      <c r="B17" s="261" t="s">
        <v>361</v>
      </c>
      <c r="E17" s="260">
        <f>E16/E13</f>
        <v>0.14361702127659573</v>
      </c>
      <c r="F17" s="260">
        <f>F16/F13</f>
        <v>0.15535542669560615</v>
      </c>
      <c r="G17" s="260">
        <f t="shared" ref="G17:I17" si="3">G16/G13</f>
        <v>0.17649868421656909</v>
      </c>
      <c r="H17" s="260">
        <f t="shared" si="3"/>
        <v>0.17130983472177214</v>
      </c>
      <c r="I17" s="260">
        <f t="shared" si="3"/>
        <v>0.17019322656509459</v>
      </c>
      <c r="J17" s="304">
        <f>J16/J13</f>
        <v>0.17705012072665088</v>
      </c>
      <c r="K17" s="304">
        <f t="shared" ref="K17:N17" si="4">K16/K13</f>
        <v>0.17933264775925531</v>
      </c>
      <c r="L17" s="304">
        <f t="shared" si="4"/>
        <v>0.18120060792891068</v>
      </c>
      <c r="M17" s="304">
        <f t="shared" si="4"/>
        <v>0.18275754266156186</v>
      </c>
      <c r="N17" s="304">
        <f t="shared" si="4"/>
        <v>0.18407516294209264</v>
      </c>
      <c r="P17" s="270"/>
      <c r="Q17" s="388"/>
      <c r="R17" s="388"/>
      <c r="S17" s="388"/>
      <c r="T17" s="392"/>
      <c r="U17" s="388"/>
      <c r="V17" s="388"/>
      <c r="W17" s="385"/>
      <c r="X17" s="385"/>
      <c r="Y17" s="385"/>
      <c r="Z17" s="385"/>
      <c r="AA17" s="385"/>
      <c r="AB17" s="276"/>
    </row>
    <row r="18" spans="1:28" s="244" customFormat="1" outlineLevel="1">
      <c r="I18" s="266"/>
      <c r="P18" s="270"/>
      <c r="Q18" s="388"/>
      <c r="R18" s="388"/>
      <c r="S18" s="388"/>
      <c r="T18" s="390"/>
      <c r="U18" s="388"/>
      <c r="V18" s="388"/>
      <c r="W18" s="385"/>
      <c r="X18" s="385"/>
      <c r="Y18" s="385"/>
      <c r="Z18" s="385"/>
      <c r="AA18" s="385"/>
      <c r="AB18" s="276"/>
    </row>
    <row r="19" spans="1:28" s="244" customFormat="1" outlineLevel="1">
      <c r="B19" s="244" t="s">
        <v>367</v>
      </c>
      <c r="E19" s="265">
        <f>'Main Financials'!F35</f>
        <v>60.7</v>
      </c>
      <c r="F19" s="265">
        <f>'Main Financials'!G35</f>
        <v>72.33</v>
      </c>
      <c r="G19" s="265">
        <f>'Main Financials'!H35</f>
        <v>108.63</v>
      </c>
      <c r="H19" s="265">
        <f>'Main Financials'!I35</f>
        <v>121.35</v>
      </c>
      <c r="I19" s="265">
        <f>'Main Financials'!J35</f>
        <v>140.49</v>
      </c>
      <c r="J19" s="256">
        <f t="array" ref="J19:N19">TRANSPOSE(L76:L80)</f>
        <v>163.28</v>
      </c>
      <c r="K19" s="256">
        <v>184.14</v>
      </c>
      <c r="L19" s="256">
        <v>205</v>
      </c>
      <c r="M19" s="256">
        <v>225.86</v>
      </c>
      <c r="N19" s="256">
        <v>246.72</v>
      </c>
      <c r="P19" s="270"/>
      <c r="Q19" s="388"/>
      <c r="R19" s="388"/>
      <c r="S19" s="388"/>
      <c r="T19" s="388"/>
      <c r="U19" s="388"/>
      <c r="V19" s="388"/>
      <c r="W19" s="385"/>
      <c r="X19" s="385"/>
      <c r="Y19" s="385"/>
      <c r="Z19" s="385"/>
      <c r="AA19" s="385"/>
      <c r="AB19" s="276"/>
    </row>
    <row r="20" spans="1:28" s="244" customFormat="1" outlineLevel="1">
      <c r="B20" s="261" t="s">
        <v>366</v>
      </c>
      <c r="E20" s="260">
        <f>E19/E16</f>
        <v>0.2834991359581524</v>
      </c>
      <c r="F20" s="260">
        <f>F19/F16</f>
        <v>0.25137276708139289</v>
      </c>
      <c r="G20" s="260">
        <f t="shared" ref="G20:I20" si="5">G19/G16</f>
        <v>0.28266243397257446</v>
      </c>
      <c r="H20" s="260">
        <f t="shared" si="5"/>
        <v>0.2700747796670524</v>
      </c>
      <c r="I20" s="260">
        <f t="shared" si="5"/>
        <v>0.27973239352487894</v>
      </c>
      <c r="J20" s="304">
        <f>J19/J16</f>
        <v>0.27726834304655545</v>
      </c>
      <c r="K20" s="304">
        <f t="shared" ref="K20:N20" si="6">K19/K16</f>
        <v>0.27787586581556417</v>
      </c>
      <c r="L20" s="304">
        <f t="shared" si="6"/>
        <v>0.27836165832939541</v>
      </c>
      <c r="M20" s="304">
        <f t="shared" si="6"/>
        <v>0.27875897580205211</v>
      </c>
      <c r="N20" s="304">
        <f t="shared" si="6"/>
        <v>0.27908997122224016</v>
      </c>
      <c r="P20" s="270"/>
      <c r="Q20" s="388"/>
      <c r="R20" s="388"/>
      <c r="S20" s="388"/>
      <c r="T20" s="389"/>
      <c r="U20" s="388"/>
      <c r="V20" s="388"/>
      <c r="W20" s="385"/>
      <c r="X20" s="385"/>
      <c r="Y20" s="385"/>
      <c r="Z20" s="385"/>
      <c r="AA20" s="385"/>
      <c r="AB20" s="276"/>
    </row>
    <row r="21" spans="1:28" s="244" customFormat="1" outlineLevel="1">
      <c r="I21" s="266"/>
      <c r="P21" s="270"/>
      <c r="Q21" s="388"/>
      <c r="R21" s="388"/>
      <c r="S21" s="388"/>
      <c r="T21" s="388"/>
      <c r="U21" s="388"/>
      <c r="V21" s="388"/>
      <c r="W21" s="385"/>
      <c r="X21" s="385"/>
      <c r="Y21" s="385"/>
      <c r="Z21" s="385"/>
      <c r="AA21" s="385"/>
      <c r="AB21" s="276"/>
    </row>
    <row r="22" spans="1:28" outlineLevel="1">
      <c r="A22" s="228" t="s">
        <v>354</v>
      </c>
      <c r="B22" s="318" t="s">
        <v>371</v>
      </c>
      <c r="C22" s="319"/>
      <c r="D22" s="319"/>
      <c r="E22" s="318">
        <f>E12</f>
        <v>2022</v>
      </c>
      <c r="F22" s="318">
        <f t="shared" ref="F22:N22" si="7">E22+1</f>
        <v>2023</v>
      </c>
      <c r="G22" s="318">
        <f t="shared" si="7"/>
        <v>2024</v>
      </c>
      <c r="H22" s="318">
        <f t="shared" si="7"/>
        <v>2025</v>
      </c>
      <c r="I22" s="320">
        <f t="shared" si="7"/>
        <v>2026</v>
      </c>
      <c r="J22" s="318">
        <f t="shared" si="7"/>
        <v>2027</v>
      </c>
      <c r="K22" s="318">
        <f t="shared" si="7"/>
        <v>2028</v>
      </c>
      <c r="L22" s="318">
        <f t="shared" si="7"/>
        <v>2029</v>
      </c>
      <c r="M22" s="318">
        <f t="shared" si="7"/>
        <v>2030</v>
      </c>
      <c r="N22" s="318">
        <f t="shared" si="7"/>
        <v>2031</v>
      </c>
      <c r="P22" s="270"/>
      <c r="Q22" s="388"/>
      <c r="R22" s="393"/>
      <c r="S22" s="394"/>
      <c r="T22" s="395"/>
      <c r="U22" s="388"/>
      <c r="V22" s="388"/>
      <c r="W22" s="385"/>
      <c r="X22" s="385"/>
      <c r="Y22" s="385"/>
      <c r="Z22" s="385"/>
      <c r="AA22" s="385"/>
      <c r="AB22" s="276"/>
    </row>
    <row r="23" spans="1:28" s="244" customFormat="1" outlineLevel="1">
      <c r="B23" s="244" t="s">
        <v>364</v>
      </c>
      <c r="E23" s="265">
        <f>'Main Financials'!F29</f>
        <v>44.78</v>
      </c>
      <c r="F23" s="265">
        <f>'Main Financials'!G29</f>
        <v>51.85</v>
      </c>
      <c r="G23" s="265">
        <f>'Main Financials'!H29</f>
        <v>74.27</v>
      </c>
      <c r="H23" s="265">
        <f>'Main Financials'!I29</f>
        <v>83.39</v>
      </c>
      <c r="I23" s="265">
        <f>'Main Financials'!J29</f>
        <v>98.63</v>
      </c>
      <c r="J23" s="286">
        <f t="array" ref="J23:N23">TRANSPOSE(C90:C94)</f>
        <v>112.35599999999998</v>
      </c>
      <c r="K23" s="286">
        <v>126.27999999999999</v>
      </c>
      <c r="L23" s="286">
        <v>140.20399999999998</v>
      </c>
      <c r="M23" s="286">
        <v>154.12799999999999</v>
      </c>
      <c r="N23" s="286">
        <v>168.05199999999996</v>
      </c>
      <c r="P23" s="270"/>
      <c r="Q23" s="388"/>
      <c r="R23" s="388"/>
      <c r="S23" s="388"/>
      <c r="T23" s="388"/>
      <c r="U23" s="388"/>
      <c r="V23" s="388"/>
      <c r="W23" s="385"/>
      <c r="X23" s="385"/>
      <c r="Y23" s="385"/>
      <c r="Z23" s="385"/>
      <c r="AA23" s="385"/>
      <c r="AB23" s="276"/>
    </row>
    <row r="24" spans="1:28" s="244" customFormat="1" outlineLevel="1">
      <c r="B24" s="261" t="s">
        <v>361</v>
      </c>
      <c r="E24" s="260">
        <f>E23/E13</f>
        <v>3.0036757800971266E-2</v>
      </c>
      <c r="F24" s="260">
        <f>F23/F13</f>
        <v>2.7994644033388406E-2</v>
      </c>
      <c r="G24" s="260">
        <f t="shared" ref="G24:I24" si="8">G23/G13</f>
        <v>3.4109331728980764E-2</v>
      </c>
      <c r="H24" s="260">
        <f t="shared" si="8"/>
        <v>3.1793659568789677E-2</v>
      </c>
      <c r="I24" s="260">
        <f t="shared" si="8"/>
        <v>3.3423248185323995E-2</v>
      </c>
      <c r="J24" s="334">
        <f>J23/J13</f>
        <v>3.3780011418747841E-2</v>
      </c>
      <c r="K24" s="334">
        <f t="shared" ref="K24:N24" si="9">K23/K13</f>
        <v>3.4174063650140717E-2</v>
      </c>
      <c r="L24" s="334">
        <f t="shared" si="9"/>
        <v>3.4496545645968747E-2</v>
      </c>
      <c r="M24" s="334">
        <f t="shared" si="9"/>
        <v>3.4765332651235555E-2</v>
      </c>
      <c r="N24" s="334">
        <f t="shared" si="9"/>
        <v>3.4992804748720081E-2</v>
      </c>
      <c r="Q24" s="396"/>
      <c r="R24" s="396"/>
      <c r="S24" s="396"/>
      <c r="T24" s="396"/>
      <c r="U24" s="396"/>
      <c r="V24" s="396"/>
    </row>
    <row r="25" spans="1:28" s="244" customFormat="1" outlineLevel="1">
      <c r="E25" s="256"/>
      <c r="F25" s="256"/>
      <c r="G25" s="256"/>
      <c r="H25" s="256"/>
      <c r="I25" s="263"/>
      <c r="J25" s="286"/>
      <c r="K25" s="286"/>
      <c r="L25" s="286"/>
      <c r="M25" s="286"/>
      <c r="N25" s="286"/>
    </row>
    <row r="26" spans="1:28" s="244" customFormat="1" outlineLevel="1">
      <c r="B26" s="244" t="s">
        <v>363</v>
      </c>
      <c r="E26" s="265">
        <f>-'Main Financials'!F88-'Main Financials'!F90</f>
        <v>46</v>
      </c>
      <c r="F26" s="265">
        <f>-'Main Financials'!G88-'Main Financials'!G90</f>
        <v>54</v>
      </c>
      <c r="G26" s="265">
        <f>-'Main Financials'!H88-'Main Financials'!H90</f>
        <v>246</v>
      </c>
      <c r="H26" s="265">
        <f>-'Main Financials'!I88-'Main Financials'!I90</f>
        <v>173</v>
      </c>
      <c r="I26" s="265">
        <f>-'Main Financials'!J88-'Main Financials'!J90</f>
        <v>280</v>
      </c>
      <c r="J26" s="286">
        <f t="array" ref="J26:N26">TRANSPOSE(F90:F94)</f>
        <v>335.90000000000003</v>
      </c>
      <c r="K26" s="286">
        <v>394.6</v>
      </c>
      <c r="L26" s="286">
        <v>453.3</v>
      </c>
      <c r="M26" s="286">
        <v>512</v>
      </c>
      <c r="N26" s="286">
        <v>570.70000000000005</v>
      </c>
    </row>
    <row r="27" spans="1:28" s="244" customFormat="1" outlineLevel="1">
      <c r="B27" s="261" t="s">
        <v>361</v>
      </c>
      <c r="E27" s="260">
        <f>E26/E13</f>
        <v>3.0855088406535915E-2</v>
      </c>
      <c r="F27" s="260">
        <f>F26/F13</f>
        <v>2.9155463409893417E-2</v>
      </c>
      <c r="G27" s="260">
        <f t="shared" ref="G27:I27" si="10">G26/G13</f>
        <v>0.11297826316587138</v>
      </c>
      <c r="H27" s="260">
        <f t="shared" si="10"/>
        <v>6.5958785290809618E-2</v>
      </c>
      <c r="I27" s="260">
        <f t="shared" si="10"/>
        <v>9.4885019688641589E-2</v>
      </c>
      <c r="J27" s="334">
        <f>J26/J13</f>
        <v>0.10098887318485353</v>
      </c>
      <c r="K27" s="334">
        <f t="shared" ref="K27:N27" si="11">K26/K13</f>
        <v>0.10678718337302447</v>
      </c>
      <c r="L27" s="334">
        <f t="shared" si="11"/>
        <v>0.11153236813013635</v>
      </c>
      <c r="M27" s="334">
        <f t="shared" si="11"/>
        <v>0.11548745404749693</v>
      </c>
      <c r="N27" s="334">
        <f t="shared" si="11"/>
        <v>0.11883460875261559</v>
      </c>
    </row>
    <row r="28" spans="1:28" s="244" customFormat="1" outlineLevel="1">
      <c r="E28" s="256"/>
      <c r="F28" s="256"/>
      <c r="G28" s="256"/>
      <c r="H28" s="256"/>
      <c r="I28" s="263"/>
      <c r="J28" s="286"/>
      <c r="K28" s="286"/>
      <c r="L28" s="286"/>
      <c r="M28" s="286"/>
      <c r="N28" s="286"/>
    </row>
    <row r="29" spans="1:28" s="244" customFormat="1" outlineLevel="1">
      <c r="B29" s="244" t="s">
        <v>362</v>
      </c>
      <c r="E29" s="262">
        <f>'Intrinsic Growth'!E44</f>
        <v>0</v>
      </c>
      <c r="F29" s="262">
        <f>'Intrinsic Growth'!F44</f>
        <v>124</v>
      </c>
      <c r="G29" s="262">
        <f>'Intrinsic Growth'!G44</f>
        <v>168</v>
      </c>
      <c r="H29" s="262">
        <f>'Intrinsic Growth'!H44</f>
        <v>254</v>
      </c>
      <c r="I29" s="262">
        <f>'Intrinsic Growth'!I44</f>
        <v>205</v>
      </c>
      <c r="J29" s="339">
        <f>I29</f>
        <v>205</v>
      </c>
      <c r="K29" s="339">
        <f t="shared" ref="K29:N29" si="12">J29</f>
        <v>205</v>
      </c>
      <c r="L29" s="339">
        <f t="shared" si="12"/>
        <v>205</v>
      </c>
      <c r="M29" s="339">
        <f t="shared" si="12"/>
        <v>205</v>
      </c>
      <c r="N29" s="339">
        <f t="shared" si="12"/>
        <v>205</v>
      </c>
    </row>
    <row r="30" spans="1:28" s="244" customFormat="1" outlineLevel="1">
      <c r="B30" s="261" t="s">
        <v>361</v>
      </c>
      <c r="E30" s="260">
        <f>E29/E13</f>
        <v>0</v>
      </c>
      <c r="F30" s="260">
        <f>F29/F13</f>
        <v>6.6949582644940442E-2</v>
      </c>
      <c r="G30" s="260">
        <f t="shared" ref="G30:I30" si="13">G29/G13</f>
        <v>7.7155887040107285E-2</v>
      </c>
      <c r="H30" s="260">
        <f t="shared" si="13"/>
        <v>9.6841222334483487E-2</v>
      </c>
      <c r="I30" s="260">
        <f t="shared" si="13"/>
        <v>6.9469389414898303E-2</v>
      </c>
      <c r="J30" s="334">
        <f>J29/J13</f>
        <v>6.1633578454584614E-2</v>
      </c>
      <c r="K30" s="334">
        <f t="shared" ref="K30:N30" si="14">K29/K13</f>
        <v>5.5477376055423244E-2</v>
      </c>
      <c r="L30" s="334">
        <f t="shared" si="14"/>
        <v>5.0439301713386168E-2</v>
      </c>
      <c r="M30" s="334">
        <f t="shared" si="14"/>
        <v>4.6240093905736079E-2</v>
      </c>
      <c r="N30" s="334">
        <f t="shared" si="14"/>
        <v>4.2686340974743636E-2</v>
      </c>
    </row>
    <row r="31" spans="1:28" outlineLevel="1">
      <c r="G31" s="295"/>
      <c r="H31" s="295"/>
      <c r="I31" s="296"/>
      <c r="J31" s="287">
        <v>1</v>
      </c>
      <c r="K31" s="287">
        <f>J31+1</f>
        <v>2</v>
      </c>
      <c r="L31" s="287">
        <f>K31+1</f>
        <v>3</v>
      </c>
      <c r="M31" s="287">
        <f>L31+1</f>
        <v>4</v>
      </c>
      <c r="N31" s="287">
        <f>M31+1</f>
        <v>5</v>
      </c>
    </row>
    <row r="32" spans="1:28">
      <c r="A32" s="228" t="s">
        <v>354</v>
      </c>
      <c r="B32" s="318" t="s">
        <v>370</v>
      </c>
      <c r="C32" s="319"/>
      <c r="D32" s="319"/>
      <c r="E32" s="318">
        <f t="shared" ref="E32:N32" si="15">E22</f>
        <v>2022</v>
      </c>
      <c r="F32" s="318">
        <f t="shared" si="15"/>
        <v>2023</v>
      </c>
      <c r="G32" s="318">
        <f t="shared" si="15"/>
        <v>2024</v>
      </c>
      <c r="H32" s="318">
        <f t="shared" si="15"/>
        <v>2025</v>
      </c>
      <c r="I32" s="320">
        <f t="shared" si="15"/>
        <v>2026</v>
      </c>
      <c r="J32" s="318">
        <f t="shared" si="15"/>
        <v>2027</v>
      </c>
      <c r="K32" s="318">
        <f t="shared" si="15"/>
        <v>2028</v>
      </c>
      <c r="L32" s="318">
        <f t="shared" si="15"/>
        <v>2029</v>
      </c>
      <c r="M32" s="318">
        <f t="shared" si="15"/>
        <v>2030</v>
      </c>
      <c r="N32" s="318">
        <f t="shared" si="15"/>
        <v>2031</v>
      </c>
    </row>
    <row r="33" spans="2:30">
      <c r="B33" s="228" t="s">
        <v>330</v>
      </c>
      <c r="E33" s="257">
        <f>E13</f>
        <v>1490.84</v>
      </c>
      <c r="F33" s="257">
        <f t="shared" ref="F33:I33" si="16">F13</f>
        <v>1852.14</v>
      </c>
      <c r="G33" s="257">
        <f t="shared" si="16"/>
        <v>2177.41</v>
      </c>
      <c r="H33" s="257">
        <f t="shared" si="16"/>
        <v>2622.85</v>
      </c>
      <c r="I33" s="257">
        <f t="shared" si="16"/>
        <v>2950.94</v>
      </c>
      <c r="J33" s="257">
        <f>J13</f>
        <v>3326.1090000000004</v>
      </c>
      <c r="K33" s="257">
        <f t="shared" ref="K33:N33" si="17">K13</f>
        <v>3695.2000000000003</v>
      </c>
      <c r="L33" s="257">
        <f t="shared" si="17"/>
        <v>4064.2910000000002</v>
      </c>
      <c r="M33" s="257">
        <f t="shared" si="17"/>
        <v>4433.3819999999996</v>
      </c>
      <c r="N33" s="257">
        <f t="shared" si="17"/>
        <v>4802.473</v>
      </c>
      <c r="R33" s="295"/>
    </row>
    <row r="34" spans="2:30">
      <c r="B34" s="242" t="s">
        <v>369</v>
      </c>
      <c r="E34" s="335"/>
      <c r="F34" s="335">
        <f>F14</f>
        <v>0.24234659654959634</v>
      </c>
      <c r="G34" s="335">
        <f>G14</f>
        <v>0.17561847376548201</v>
      </c>
      <c r="H34" s="335">
        <f>H14</f>
        <v>0.20457332335205591</v>
      </c>
      <c r="I34" s="335">
        <f>I14</f>
        <v>0.12508912061307353</v>
      </c>
      <c r="J34" s="335">
        <f>J14</f>
        <v>0.12713542125559996</v>
      </c>
      <c r="K34" s="335">
        <f t="shared" ref="K34:N34" si="18">K14</f>
        <v>0.11096780051405397</v>
      </c>
      <c r="L34" s="335">
        <f t="shared" si="18"/>
        <v>9.9883903442303579E-2</v>
      </c>
      <c r="M34" s="335">
        <f t="shared" si="18"/>
        <v>9.0813133213148323E-2</v>
      </c>
      <c r="N34" s="335">
        <f t="shared" si="18"/>
        <v>8.3252695120790587E-2</v>
      </c>
      <c r="U34" s="244"/>
      <c r="Y34" s="259"/>
      <c r="Z34" s="259"/>
      <c r="AA34" s="259"/>
    </row>
    <row r="35" spans="2:30">
      <c r="E35" s="336"/>
      <c r="F35" s="336"/>
      <c r="G35" s="336"/>
      <c r="H35" s="336"/>
      <c r="I35" s="338"/>
      <c r="J35" s="336"/>
      <c r="K35" s="336"/>
      <c r="L35" s="336"/>
      <c r="M35" s="336"/>
      <c r="N35" s="336"/>
      <c r="Y35" s="259"/>
      <c r="Z35" s="259"/>
      <c r="AA35" s="259"/>
    </row>
    <row r="36" spans="2:30">
      <c r="B36" s="228" t="s">
        <v>282</v>
      </c>
      <c r="E36" s="257">
        <f>E16</f>
        <v>214.10999999999999</v>
      </c>
      <c r="F36" s="257">
        <f t="shared" ref="F36:I36" si="19">F16</f>
        <v>287.74</v>
      </c>
      <c r="G36" s="257">
        <f t="shared" si="19"/>
        <v>384.30999999999966</v>
      </c>
      <c r="H36" s="257">
        <f t="shared" si="19"/>
        <v>449.32000000000005</v>
      </c>
      <c r="I36" s="257">
        <f t="shared" si="19"/>
        <v>502.23000000000025</v>
      </c>
      <c r="J36" s="257">
        <f>J16</f>
        <v>588.88800000000015</v>
      </c>
      <c r="K36" s="257">
        <f t="shared" ref="K36:N36" si="20">K16</f>
        <v>662.6700000000003</v>
      </c>
      <c r="L36" s="257">
        <f t="shared" si="20"/>
        <v>736.45200000000034</v>
      </c>
      <c r="M36" s="257">
        <f t="shared" si="20"/>
        <v>810.23400000000038</v>
      </c>
      <c r="N36" s="257">
        <f t="shared" si="20"/>
        <v>884.01600000000042</v>
      </c>
      <c r="V36" s="253"/>
      <c r="W36" s="253"/>
      <c r="X36" s="253"/>
      <c r="Y36" s="253"/>
      <c r="Z36" s="253"/>
      <c r="AA36" s="253"/>
    </row>
    <row r="37" spans="2:30">
      <c r="B37" s="242" t="s">
        <v>368</v>
      </c>
      <c r="E37" s="335"/>
      <c r="F37" s="335">
        <f>F17</f>
        <v>0.15535542669560615</v>
      </c>
      <c r="G37" s="335">
        <f>G17</f>
        <v>0.17649868421656909</v>
      </c>
      <c r="H37" s="335">
        <f>H17</f>
        <v>0.17130983472177214</v>
      </c>
      <c r="I37" s="335">
        <f>I36/I33</f>
        <v>0.17019322656509459</v>
      </c>
      <c r="J37" s="335">
        <f>J17</f>
        <v>0.17705012072665088</v>
      </c>
      <c r="K37" s="335">
        <f t="shared" ref="K37:N37" si="21">K17</f>
        <v>0.17933264775925531</v>
      </c>
      <c r="L37" s="335">
        <f t="shared" si="21"/>
        <v>0.18120060792891068</v>
      </c>
      <c r="M37" s="335">
        <f t="shared" si="21"/>
        <v>0.18275754266156186</v>
      </c>
      <c r="N37" s="335">
        <f t="shared" si="21"/>
        <v>0.18407516294209264</v>
      </c>
      <c r="V37" s="258"/>
      <c r="W37" s="258"/>
      <c r="X37" s="258"/>
      <c r="Y37" s="258"/>
      <c r="Z37" s="258"/>
      <c r="AA37" s="258"/>
    </row>
    <row r="38" spans="2:30">
      <c r="E38" s="336"/>
      <c r="F38" s="336"/>
      <c r="G38" s="336"/>
      <c r="H38" s="336"/>
      <c r="I38" s="338"/>
      <c r="J38" s="336"/>
      <c r="K38" s="337"/>
      <c r="L38" s="337"/>
      <c r="M38" s="336"/>
      <c r="N38" s="336"/>
      <c r="U38" s="244"/>
      <c r="Y38" s="256"/>
      <c r="Z38" s="256"/>
      <c r="AA38" s="256"/>
      <c r="AB38" s="244"/>
      <c r="AC38" s="244"/>
      <c r="AD38" s="244"/>
    </row>
    <row r="39" spans="2:30">
      <c r="B39" s="228" t="s">
        <v>367</v>
      </c>
      <c r="E39" s="257">
        <f t="shared" ref="E39:J39" si="22">E19</f>
        <v>60.7</v>
      </c>
      <c r="F39" s="257">
        <f t="shared" si="22"/>
        <v>72.33</v>
      </c>
      <c r="G39" s="257">
        <f t="shared" si="22"/>
        <v>108.63</v>
      </c>
      <c r="H39" s="257">
        <f t="shared" si="22"/>
        <v>121.35</v>
      </c>
      <c r="I39" s="257">
        <f t="shared" si="22"/>
        <v>140.49</v>
      </c>
      <c r="J39" s="257">
        <f t="shared" si="22"/>
        <v>163.28</v>
      </c>
      <c r="K39" s="257">
        <f t="shared" ref="K39:N39" si="23">K19</f>
        <v>184.14</v>
      </c>
      <c r="L39" s="257">
        <f t="shared" si="23"/>
        <v>205</v>
      </c>
      <c r="M39" s="257">
        <f t="shared" si="23"/>
        <v>225.86</v>
      </c>
      <c r="N39" s="257">
        <f t="shared" si="23"/>
        <v>246.72</v>
      </c>
      <c r="U39" s="244"/>
      <c r="Y39" s="256"/>
      <c r="Z39" s="256"/>
      <c r="AA39" s="256"/>
      <c r="AB39" s="244"/>
      <c r="AC39" s="244"/>
      <c r="AD39" s="244"/>
    </row>
    <row r="40" spans="2:30">
      <c r="B40" s="242" t="s">
        <v>366</v>
      </c>
      <c r="E40" s="335"/>
      <c r="F40" s="335">
        <f>F20</f>
        <v>0.25137276708139289</v>
      </c>
      <c r="G40" s="335">
        <f>G20</f>
        <v>0.28266243397257446</v>
      </c>
      <c r="H40" s="335">
        <f>H20</f>
        <v>0.2700747796670524</v>
      </c>
      <c r="I40" s="335">
        <f>I20</f>
        <v>0.27973239352487894</v>
      </c>
      <c r="J40" s="335">
        <f>J20</f>
        <v>0.27726834304655545</v>
      </c>
      <c r="K40" s="335">
        <f t="shared" ref="K40:N40" si="24">K20</f>
        <v>0.27787586581556417</v>
      </c>
      <c r="L40" s="335">
        <f t="shared" si="24"/>
        <v>0.27836165832939541</v>
      </c>
      <c r="M40" s="335">
        <f t="shared" si="24"/>
        <v>0.27875897580205211</v>
      </c>
      <c r="N40" s="335">
        <f t="shared" si="24"/>
        <v>0.27908997122224016</v>
      </c>
      <c r="U40" s="244"/>
      <c r="Y40" s="252"/>
      <c r="Z40" s="252"/>
      <c r="AA40" s="252"/>
      <c r="AB40" s="244"/>
      <c r="AC40" s="244"/>
      <c r="AD40" s="244"/>
    </row>
    <row r="41" spans="2:30">
      <c r="I41" s="247"/>
      <c r="U41" s="244"/>
      <c r="Y41" s="255"/>
      <c r="Z41" s="255"/>
      <c r="AA41" s="255"/>
      <c r="AB41" s="255"/>
      <c r="AC41" s="255"/>
      <c r="AD41" s="255"/>
    </row>
    <row r="42" spans="2:30">
      <c r="B42" s="237" t="s">
        <v>365</v>
      </c>
      <c r="C42" s="236"/>
      <c r="D42" s="236"/>
      <c r="E42" s="236"/>
      <c r="F42" s="236"/>
      <c r="G42" s="236"/>
      <c r="H42" s="236"/>
      <c r="I42" s="235"/>
      <c r="J42" s="254">
        <f>J36-J39</f>
        <v>425.60800000000017</v>
      </c>
      <c r="K42" s="254">
        <f>K36-K39</f>
        <v>478.53000000000031</v>
      </c>
      <c r="L42" s="254">
        <f>L36-L39</f>
        <v>531.45200000000034</v>
      </c>
      <c r="M42" s="254">
        <f>M36-M39</f>
        <v>584.37400000000036</v>
      </c>
      <c r="N42" s="254">
        <f>N36-N39</f>
        <v>637.29600000000039</v>
      </c>
      <c r="U42" s="244"/>
      <c r="Y42" s="252"/>
      <c r="Z42" s="252"/>
      <c r="AA42" s="252"/>
      <c r="AB42" s="252"/>
      <c r="AC42" s="252"/>
      <c r="AD42" s="252"/>
    </row>
    <row r="43" spans="2:30">
      <c r="I43" s="247"/>
      <c r="J43" s="336"/>
      <c r="K43" s="257"/>
      <c r="L43" s="336"/>
      <c r="M43" s="336"/>
      <c r="N43" s="336"/>
      <c r="U43" s="244"/>
      <c r="Y43" s="244"/>
      <c r="Z43" s="244"/>
      <c r="AA43" s="244"/>
      <c r="AB43" s="244"/>
      <c r="AC43" s="244"/>
      <c r="AD43" s="244"/>
    </row>
    <row r="44" spans="2:30">
      <c r="B44" s="228" t="s">
        <v>364</v>
      </c>
      <c r="E44" s="250"/>
      <c r="F44" s="250"/>
      <c r="G44" s="250"/>
      <c r="H44" s="250"/>
      <c r="I44" s="251"/>
      <c r="J44" s="257">
        <f>J23</f>
        <v>112.35599999999998</v>
      </c>
      <c r="K44" s="257">
        <f t="shared" ref="K44:N44" si="25">K23</f>
        <v>126.27999999999999</v>
      </c>
      <c r="L44" s="257">
        <f t="shared" si="25"/>
        <v>140.20399999999998</v>
      </c>
      <c r="M44" s="257">
        <f t="shared" si="25"/>
        <v>154.12799999999999</v>
      </c>
      <c r="N44" s="257">
        <f t="shared" si="25"/>
        <v>168.05199999999996</v>
      </c>
      <c r="U44" s="244"/>
    </row>
    <row r="45" spans="2:30">
      <c r="B45" s="242" t="s">
        <v>361</v>
      </c>
      <c r="E45" s="249"/>
      <c r="F45" s="249"/>
      <c r="G45" s="249"/>
      <c r="H45" s="249"/>
      <c r="I45" s="248"/>
      <c r="J45" s="340">
        <f>J24</f>
        <v>3.3780011418747841E-2</v>
      </c>
      <c r="K45" s="340">
        <f t="shared" ref="K45:N45" si="26">K24</f>
        <v>3.4174063650140717E-2</v>
      </c>
      <c r="L45" s="340">
        <f t="shared" si="26"/>
        <v>3.4496545645968747E-2</v>
      </c>
      <c r="M45" s="340">
        <f t="shared" si="26"/>
        <v>3.4765332651235555E-2</v>
      </c>
      <c r="N45" s="340">
        <f t="shared" si="26"/>
        <v>3.4992804748720081E-2</v>
      </c>
      <c r="U45" s="244"/>
      <c r="Y45" s="252"/>
      <c r="Z45" s="252"/>
      <c r="AA45" s="252"/>
    </row>
    <row r="46" spans="2:30">
      <c r="I46" s="247"/>
      <c r="J46" s="336"/>
      <c r="K46" s="336"/>
      <c r="L46" s="336"/>
      <c r="M46" s="336"/>
      <c r="N46" s="336"/>
    </row>
    <row r="47" spans="2:30">
      <c r="B47" s="228" t="s">
        <v>363</v>
      </c>
      <c r="E47" s="250"/>
      <c r="F47" s="250"/>
      <c r="G47" s="250"/>
      <c r="H47" s="250"/>
      <c r="I47" s="251"/>
      <c r="J47" s="257">
        <f>J26</f>
        <v>335.90000000000003</v>
      </c>
      <c r="K47" s="257">
        <f t="shared" ref="K47:N47" si="27">K26</f>
        <v>394.6</v>
      </c>
      <c r="L47" s="257">
        <f t="shared" si="27"/>
        <v>453.3</v>
      </c>
      <c r="M47" s="257">
        <f t="shared" si="27"/>
        <v>512</v>
      </c>
      <c r="N47" s="257">
        <f t="shared" si="27"/>
        <v>570.70000000000005</v>
      </c>
      <c r="U47" s="244"/>
    </row>
    <row r="48" spans="2:30">
      <c r="B48" s="242" t="s">
        <v>361</v>
      </c>
      <c r="E48" s="249"/>
      <c r="F48" s="249"/>
      <c r="G48" s="249"/>
      <c r="H48" s="249"/>
      <c r="I48" s="248"/>
      <c r="J48" s="340">
        <f>J27</f>
        <v>0.10098887318485353</v>
      </c>
      <c r="K48" s="340">
        <f t="shared" ref="K48:N48" si="28">K27</f>
        <v>0.10678718337302447</v>
      </c>
      <c r="L48" s="340">
        <f t="shared" si="28"/>
        <v>0.11153236813013635</v>
      </c>
      <c r="M48" s="340">
        <f t="shared" si="28"/>
        <v>0.11548745404749693</v>
      </c>
      <c r="N48" s="340">
        <f t="shared" si="28"/>
        <v>0.11883460875261559</v>
      </c>
      <c r="U48" s="244"/>
      <c r="Y48" s="243"/>
      <c r="Z48" s="243"/>
      <c r="AA48" s="243"/>
      <c r="AB48" s="243"/>
      <c r="AC48" s="243"/>
      <c r="AD48" s="243"/>
    </row>
    <row r="49" spans="1:27">
      <c r="I49" s="247"/>
    </row>
    <row r="50" spans="1:27">
      <c r="B50" s="228" t="s">
        <v>362</v>
      </c>
      <c r="E50" s="246"/>
      <c r="F50" s="246"/>
      <c r="G50" s="246"/>
      <c r="H50" s="246"/>
      <c r="I50" s="245"/>
      <c r="J50" s="233">
        <f>J29</f>
        <v>205</v>
      </c>
      <c r="K50" s="233">
        <f t="shared" ref="K50:N50" si="29">K29</f>
        <v>205</v>
      </c>
      <c r="L50" s="233">
        <f t="shared" si="29"/>
        <v>205</v>
      </c>
      <c r="M50" s="233">
        <f t="shared" si="29"/>
        <v>205</v>
      </c>
      <c r="N50" s="233">
        <f t="shared" si="29"/>
        <v>205</v>
      </c>
      <c r="U50" s="244"/>
      <c r="Y50" s="243"/>
      <c r="Z50" s="243"/>
      <c r="AA50" s="243"/>
    </row>
    <row r="51" spans="1:27">
      <c r="B51" s="242" t="s">
        <v>361</v>
      </c>
      <c r="E51" s="240"/>
      <c r="F51" s="240"/>
      <c r="G51" s="240"/>
      <c r="H51" s="240"/>
      <c r="I51" s="241"/>
      <c r="J51" s="341">
        <f>J30</f>
        <v>6.1633578454584614E-2</v>
      </c>
      <c r="K51" s="341">
        <f t="shared" ref="K51:N51" si="30">K30</f>
        <v>5.5477376055423244E-2</v>
      </c>
      <c r="L51" s="341">
        <f t="shared" si="30"/>
        <v>5.0439301713386168E-2</v>
      </c>
      <c r="M51" s="341">
        <f t="shared" si="30"/>
        <v>4.6240093905736079E-2</v>
      </c>
      <c r="N51" s="341">
        <f t="shared" si="30"/>
        <v>4.2686340974743636E-2</v>
      </c>
    </row>
    <row r="52" spans="1:27">
      <c r="I52" s="239"/>
      <c r="J52" s="336"/>
      <c r="K52" s="336"/>
      <c r="L52" s="336"/>
      <c r="M52" s="336"/>
      <c r="N52" s="336"/>
    </row>
    <row r="53" spans="1:27">
      <c r="B53" s="237" t="s">
        <v>360</v>
      </c>
      <c r="C53" s="236"/>
      <c r="D53" s="236"/>
      <c r="E53" s="236"/>
      <c r="F53" s="236"/>
      <c r="G53" s="236"/>
      <c r="H53" s="236"/>
      <c r="I53" s="235"/>
      <c r="J53" s="234">
        <f>J42+J44-J47-J50</f>
        <v>-2.9359999999998649</v>
      </c>
      <c r="K53" s="234">
        <f>K42+K44-K47-K50</f>
        <v>5.2100000000002638</v>
      </c>
      <c r="L53" s="234">
        <f>L42+L44-L47-L50</f>
        <v>13.356000000000279</v>
      </c>
      <c r="M53" s="234">
        <f>M42+M44-M47-M50</f>
        <v>21.502000000000407</v>
      </c>
      <c r="N53" s="234">
        <f>N42+N44-N47-N50</f>
        <v>29.648000000000366</v>
      </c>
      <c r="P53" s="238"/>
    </row>
    <row r="54" spans="1:27">
      <c r="B54" s="237" t="s">
        <v>359</v>
      </c>
      <c r="C54" s="236"/>
      <c r="D54" s="236"/>
      <c r="E54" s="236"/>
      <c r="F54" s="236"/>
      <c r="G54" s="236"/>
      <c r="H54" s="236"/>
      <c r="I54" s="235"/>
      <c r="J54" s="415">
        <f>J53/(1+wacc)^J31</f>
        <v>-2.6189171124299127</v>
      </c>
      <c r="K54" s="415">
        <f>K53/(1+wacc)^K31</f>
        <v>4.1454256246879018</v>
      </c>
      <c r="L54" s="415">
        <f>L53/(1+wacc)^L31</f>
        <v>9.479239952148145</v>
      </c>
      <c r="M54" s="415">
        <f>M53/(1+wacc)^M31</f>
        <v>13.612618274995281</v>
      </c>
      <c r="N54" s="415">
        <f>N53/(1+wacc)^N31</f>
        <v>16.742638985425369</v>
      </c>
    </row>
    <row r="55" spans="1:27">
      <c r="J55" s="416"/>
      <c r="K55" s="297"/>
      <c r="L55" s="297"/>
      <c r="M55" s="297"/>
      <c r="N55" s="297"/>
    </row>
    <row r="56" spans="1:27">
      <c r="A56" s="228" t="s">
        <v>354</v>
      </c>
      <c r="B56" s="228" t="s">
        <v>307</v>
      </c>
      <c r="J56" s="416"/>
      <c r="K56" s="297"/>
      <c r="L56" s="297"/>
      <c r="M56" s="297"/>
      <c r="N56" s="417">
        <f>N53*(1+tgr)/(wacc-tgr)</f>
        <v>514.57014428449088</v>
      </c>
    </row>
    <row r="57" spans="1:27">
      <c r="B57" s="230" t="s">
        <v>358</v>
      </c>
      <c r="C57" s="230"/>
      <c r="D57" s="230"/>
      <c r="E57" s="230"/>
      <c r="F57" s="230"/>
      <c r="G57" s="230"/>
      <c r="H57" s="230"/>
      <c r="I57" s="230"/>
      <c r="J57" s="418"/>
      <c r="K57" s="418"/>
      <c r="L57" s="418"/>
      <c r="M57" s="418"/>
      <c r="N57" s="419">
        <f>N56/(1+wacc)^I11</f>
        <v>290.58493518731001</v>
      </c>
    </row>
    <row r="58" spans="1:27">
      <c r="B58" s="229" t="s">
        <v>329</v>
      </c>
      <c r="C58" s="229"/>
      <c r="D58" s="229"/>
      <c r="E58" s="229"/>
      <c r="F58" s="229"/>
      <c r="G58" s="229"/>
      <c r="H58" s="229"/>
      <c r="I58" s="229"/>
      <c r="J58" s="420"/>
      <c r="K58" s="420"/>
      <c r="L58" s="420"/>
      <c r="M58" s="420"/>
      <c r="N58" s="421">
        <f>N57+M54+L54+K54+J54+N54</f>
        <v>331.94594091213673</v>
      </c>
    </row>
    <row r="59" spans="1:27">
      <c r="B59" s="232" t="s">
        <v>357</v>
      </c>
      <c r="J59" s="297"/>
      <c r="K59" s="297"/>
      <c r="L59" s="297"/>
      <c r="M59" s="297"/>
      <c r="N59" s="397">
        <f>'Main Financials'!J67</f>
        <v>989.65</v>
      </c>
    </row>
    <row r="60" spans="1:27">
      <c r="B60" s="231" t="s">
        <v>356</v>
      </c>
      <c r="C60" s="230"/>
      <c r="D60" s="230"/>
      <c r="E60" s="230"/>
      <c r="F60" s="230"/>
      <c r="G60" s="230"/>
      <c r="H60" s="230"/>
      <c r="I60" s="230"/>
      <c r="J60" s="418"/>
      <c r="K60" s="418"/>
      <c r="L60" s="418"/>
      <c r="M60" s="418"/>
      <c r="N60" s="398">
        <f>'Main Financials'!J55</f>
        <v>343.38</v>
      </c>
    </row>
    <row r="61" spans="1:27">
      <c r="B61" s="229" t="s">
        <v>327</v>
      </c>
      <c r="C61" s="229"/>
      <c r="D61" s="229"/>
      <c r="E61" s="229"/>
      <c r="F61" s="229"/>
      <c r="G61" s="229"/>
      <c r="H61" s="229"/>
      <c r="I61" s="229"/>
      <c r="J61" s="420"/>
      <c r="K61" s="420"/>
      <c r="L61" s="420"/>
      <c r="M61" s="420"/>
      <c r="N61" s="421">
        <f>N58+N59-N60</f>
        <v>978.21594091213672</v>
      </c>
    </row>
    <row r="62" spans="1:27">
      <c r="B62" s="230" t="s">
        <v>355</v>
      </c>
      <c r="C62" s="230"/>
      <c r="D62" s="230"/>
      <c r="E62" s="230"/>
      <c r="F62" s="230"/>
      <c r="G62" s="230"/>
      <c r="H62" s="230"/>
      <c r="I62" s="230"/>
      <c r="J62" s="418"/>
      <c r="K62" s="418"/>
      <c r="L62" s="418"/>
      <c r="M62" s="418"/>
      <c r="N62" s="399">
        <f>'Data Sheet'!B6</f>
        <v>45.316369778869777</v>
      </c>
    </row>
    <row r="63" spans="1:27">
      <c r="A63" s="228" t="s">
        <v>354</v>
      </c>
      <c r="B63" s="229" t="s">
        <v>382</v>
      </c>
      <c r="C63" s="229"/>
      <c r="D63" s="229"/>
      <c r="E63" s="229"/>
      <c r="F63" s="229"/>
      <c r="G63" s="229"/>
      <c r="H63" s="229"/>
      <c r="I63" s="229"/>
      <c r="J63" s="420"/>
      <c r="K63" s="420"/>
      <c r="L63" s="420"/>
      <c r="M63" s="420"/>
      <c r="N63" s="422">
        <f>N61/N62</f>
        <v>21.586370348850441</v>
      </c>
    </row>
    <row r="64" spans="1:27">
      <c r="N64" s="297"/>
    </row>
    <row r="66" spans="2:16" s="319" customFormat="1"/>
    <row r="67" spans="2:16">
      <c r="G67" s="297"/>
      <c r="H67" s="297"/>
      <c r="I67" s="297"/>
      <c r="J67" s="297"/>
      <c r="K67" s="297"/>
      <c r="L67" s="297"/>
      <c r="M67" s="297"/>
      <c r="N67" s="297"/>
      <c r="O67" s="297"/>
      <c r="P67" s="297"/>
    </row>
    <row r="68" spans="2:16" ht="14.4" customHeight="1">
      <c r="B68" s="444" t="s">
        <v>330</v>
      </c>
      <c r="C68" s="444"/>
      <c r="D68" s="444"/>
      <c r="E68" s="444"/>
      <c r="G68" s="260"/>
      <c r="H68" s="260"/>
      <c r="I68" s="260"/>
      <c r="J68" s="304"/>
      <c r="K68" s="305"/>
      <c r="L68" s="445"/>
      <c r="M68" s="445"/>
      <c r="N68" s="445"/>
      <c r="O68" s="445"/>
      <c r="P68" s="297"/>
    </row>
    <row r="69" spans="2:16">
      <c r="B69" s="278" t="s">
        <v>145</v>
      </c>
      <c r="C69" s="279" t="s">
        <v>146</v>
      </c>
      <c r="D69" s="279" t="s">
        <v>33</v>
      </c>
      <c r="E69" s="279" t="s">
        <v>376</v>
      </c>
      <c r="G69" s="260"/>
      <c r="H69" s="306"/>
      <c r="I69" s="260" t="s">
        <v>377</v>
      </c>
      <c r="J69" s="304"/>
      <c r="K69" s="298"/>
      <c r="L69" s="333" t="s">
        <v>378</v>
      </c>
      <c r="M69" s="299"/>
      <c r="N69" s="299"/>
      <c r="O69" s="297"/>
    </row>
    <row r="70" spans="2:16">
      <c r="B70" s="280">
        <v>1</v>
      </c>
      <c r="C70" s="284">
        <f>'Data Sheet'!G16</f>
        <v>44651</v>
      </c>
      <c r="D70" s="281">
        <f>E13</f>
        <v>1490.84</v>
      </c>
      <c r="E70" s="282"/>
      <c r="G70" s="260"/>
      <c r="H70" s="306"/>
      <c r="J70" s="304"/>
      <c r="K70" s="300"/>
      <c r="L70" s="301"/>
      <c r="M70" s="302"/>
      <c r="N70" s="303"/>
      <c r="O70" s="297"/>
    </row>
    <row r="71" spans="2:16">
      <c r="B71" s="280">
        <v>2</v>
      </c>
      <c r="C71" s="284">
        <f>C70+365</f>
        <v>45016</v>
      </c>
      <c r="D71" s="281">
        <f>F13</f>
        <v>1852.14</v>
      </c>
      <c r="E71" s="282">
        <f>(D71-D70)/D70</f>
        <v>0.24234659654959634</v>
      </c>
      <c r="G71" s="260"/>
      <c r="H71" s="308">
        <v>1</v>
      </c>
      <c r="I71" s="329">
        <f t="array" ref="I71:I75">TRANSPOSE(E16:I16)</f>
        <v>214.10999999999999</v>
      </c>
      <c r="J71" s="330"/>
      <c r="K71" s="308">
        <v>1</v>
      </c>
      <c r="L71" s="329">
        <f t="array" ref="L71:L75">TRANSPOSE(E19:I19)</f>
        <v>60.7</v>
      </c>
      <c r="M71" s="297"/>
    </row>
    <row r="72" spans="2:16">
      <c r="B72" s="280">
        <v>3</v>
      </c>
      <c r="C72" s="284">
        <f t="shared" ref="C72:C74" si="31">C71+365</f>
        <v>45381</v>
      </c>
      <c r="D72" s="281">
        <f>G13</f>
        <v>2177.41</v>
      </c>
      <c r="E72" s="282">
        <f t="shared" ref="E72:E79" si="32">(D72-D71)/D71</f>
        <v>0.17561847376548195</v>
      </c>
      <c r="G72" s="260"/>
      <c r="H72" s="308">
        <v>2</v>
      </c>
      <c r="I72" s="329">
        <v>287.74</v>
      </c>
      <c r="J72" s="330"/>
      <c r="K72" s="308">
        <v>2</v>
      </c>
      <c r="L72" s="329">
        <v>72.33</v>
      </c>
      <c r="M72" s="297"/>
    </row>
    <row r="73" spans="2:16">
      <c r="B73" s="280">
        <v>4</v>
      </c>
      <c r="C73" s="284">
        <f t="shared" si="31"/>
        <v>45746</v>
      </c>
      <c r="D73" s="281">
        <f>H13</f>
        <v>2622.85</v>
      </c>
      <c r="E73" s="282">
        <f t="shared" si="32"/>
        <v>0.20457332335205591</v>
      </c>
      <c r="G73" s="300"/>
      <c r="H73" s="309">
        <v>3</v>
      </c>
      <c r="I73" s="331">
        <v>384.30999999999966</v>
      </c>
      <c r="J73" s="330"/>
      <c r="K73" s="309">
        <v>3</v>
      </c>
      <c r="L73" s="331">
        <v>108.63</v>
      </c>
      <c r="M73" s="297"/>
    </row>
    <row r="74" spans="2:16">
      <c r="B74" s="280">
        <v>5</v>
      </c>
      <c r="C74" s="284">
        <f t="shared" si="31"/>
        <v>46111</v>
      </c>
      <c r="D74" s="281">
        <f>I13</f>
        <v>2950.94</v>
      </c>
      <c r="E74" s="282">
        <f t="shared" si="32"/>
        <v>0.12508912061307362</v>
      </c>
      <c r="G74" s="300"/>
      <c r="H74" s="309">
        <v>4</v>
      </c>
      <c r="I74" s="309">
        <v>449.32000000000005</v>
      </c>
      <c r="J74" s="310"/>
      <c r="K74" s="309">
        <v>4</v>
      </c>
      <c r="L74" s="309">
        <v>121.35</v>
      </c>
      <c r="M74" s="297"/>
    </row>
    <row r="75" spans="2:16">
      <c r="B75" s="280">
        <v>6</v>
      </c>
      <c r="C75" s="285">
        <f>C74+365</f>
        <v>46476</v>
      </c>
      <c r="D75" s="283">
        <f>FORECAST(B75,$D$70:$D$74,$B$70:$B$74)</f>
        <v>3326.1090000000004</v>
      </c>
      <c r="E75" s="282">
        <f t="shared" si="32"/>
        <v>0.12713542125560001</v>
      </c>
      <c r="G75" s="300"/>
      <c r="H75" s="309">
        <v>5</v>
      </c>
      <c r="I75" s="309">
        <v>502.23000000000025</v>
      </c>
      <c r="J75" s="310"/>
      <c r="K75" s="309">
        <v>5</v>
      </c>
      <c r="L75" s="309">
        <v>140.49</v>
      </c>
      <c r="M75" s="297"/>
    </row>
    <row r="76" spans="2:16">
      <c r="B76" s="280">
        <v>7</v>
      </c>
      <c r="C76" s="285">
        <f t="shared" ref="C76:C79" si="33">C75+365</f>
        <v>46841</v>
      </c>
      <c r="D76" s="283">
        <f t="shared" ref="D76:D79" si="34">FORECAST(B76,$D$70:$D$74,$B$70:$B$74)</f>
        <v>3695.2000000000003</v>
      </c>
      <c r="E76" s="282">
        <f t="shared" si="32"/>
        <v>0.11096780051405407</v>
      </c>
      <c r="G76" s="300"/>
      <c r="H76" s="309">
        <v>6</v>
      </c>
      <c r="I76" s="309">
        <f>FORECAST(H76,$I$71:$I$75,$H$71:$H$75)</f>
        <v>588.88800000000015</v>
      </c>
      <c r="J76" s="297"/>
      <c r="K76" s="309">
        <v>6</v>
      </c>
      <c r="L76" s="309">
        <f>FORECAST(K76,$L$71:$L$75,$K$71:$K$75)</f>
        <v>163.28</v>
      </c>
      <c r="M76" s="297"/>
    </row>
    <row r="77" spans="2:16">
      <c r="B77" s="280">
        <v>8</v>
      </c>
      <c r="C77" s="285">
        <f t="shared" si="33"/>
        <v>47206</v>
      </c>
      <c r="D77" s="283">
        <f t="shared" si="34"/>
        <v>4064.2910000000002</v>
      </c>
      <c r="E77" s="282">
        <f t="shared" si="32"/>
        <v>9.9883903442303495E-2</v>
      </c>
      <c r="G77" s="300"/>
      <c r="H77" s="309">
        <v>7</v>
      </c>
      <c r="I77" s="309">
        <f>FORECAST(H77,$I$71:$I$75,$H$71:$H$75)</f>
        <v>662.6700000000003</v>
      </c>
      <c r="J77" s="297"/>
      <c r="K77" s="309">
        <v>7</v>
      </c>
      <c r="L77" s="309">
        <f t="shared" ref="L77:L80" si="35">FORECAST(K77,$L$71:$L$75,$K$71:$K$75)</f>
        <v>184.14</v>
      </c>
      <c r="M77" s="297"/>
    </row>
    <row r="78" spans="2:16">
      <c r="B78" s="280">
        <v>9</v>
      </c>
      <c r="C78" s="285">
        <f t="shared" si="33"/>
        <v>47571</v>
      </c>
      <c r="D78" s="283">
        <f t="shared" si="34"/>
        <v>4433.3819999999996</v>
      </c>
      <c r="E78" s="282">
        <f t="shared" si="32"/>
        <v>9.0813133213148226E-2</v>
      </c>
      <c r="G78" s="300"/>
      <c r="H78" s="309">
        <v>8</v>
      </c>
      <c r="I78" s="309">
        <f>FORECAST(H78,$I$71:$I$75,$H$71:$H$75)</f>
        <v>736.45200000000034</v>
      </c>
      <c r="J78" s="297"/>
      <c r="K78" s="309">
        <v>8</v>
      </c>
      <c r="L78" s="309">
        <f t="shared" si="35"/>
        <v>205</v>
      </c>
      <c r="M78" s="297"/>
    </row>
    <row r="79" spans="2:16">
      <c r="B79" s="280">
        <v>10</v>
      </c>
      <c r="C79" s="285">
        <f t="shared" si="33"/>
        <v>47936</v>
      </c>
      <c r="D79" s="283">
        <f t="shared" si="34"/>
        <v>4802.473</v>
      </c>
      <c r="E79" s="282">
        <f t="shared" si="32"/>
        <v>8.325269512079049E-2</v>
      </c>
      <c r="G79" s="300"/>
      <c r="H79" s="309">
        <v>9</v>
      </c>
      <c r="I79" s="309">
        <f>FORECAST(H79,$I$71:$I$75,$H$71:$H$75)</f>
        <v>810.23400000000038</v>
      </c>
      <c r="J79" s="297"/>
      <c r="K79" s="309">
        <v>9</v>
      </c>
      <c r="L79" s="309">
        <f t="shared" si="35"/>
        <v>225.86</v>
      </c>
      <c r="M79" s="297"/>
    </row>
    <row r="80" spans="2:16">
      <c r="G80" s="297"/>
      <c r="H80" s="310">
        <v>10</v>
      </c>
      <c r="I80" s="309">
        <f>FORECAST(H80,$I$71:$I$75,$H$71:$H$75)</f>
        <v>884.01600000000042</v>
      </c>
      <c r="J80" s="297"/>
      <c r="K80" s="310">
        <v>10</v>
      </c>
      <c r="L80" s="309">
        <f t="shared" si="35"/>
        <v>246.72</v>
      </c>
    </row>
    <row r="81" spans="2:16">
      <c r="H81" s="307"/>
      <c r="I81" s="332"/>
    </row>
    <row r="82" spans="2:16" ht="14.4" customHeight="1">
      <c r="B82" s="445"/>
      <c r="C82" s="445"/>
      <c r="D82" s="445"/>
      <c r="E82" s="445"/>
      <c r="F82" s="297"/>
      <c r="G82" s="445"/>
      <c r="H82" s="445"/>
      <c r="I82" s="445"/>
      <c r="J82" s="445"/>
      <c r="K82" s="297"/>
      <c r="L82" s="446"/>
      <c r="M82" s="446"/>
      <c r="N82" s="446"/>
      <c r="O82" s="446"/>
      <c r="P82" s="244"/>
    </row>
    <row r="83" spans="2:16">
      <c r="B83" s="298"/>
      <c r="C83" s="333" t="s">
        <v>379</v>
      </c>
      <c r="D83" s="299"/>
      <c r="E83" s="298"/>
      <c r="F83" s="333" t="s">
        <v>380</v>
      </c>
      <c r="G83" s="298"/>
      <c r="H83" s="298"/>
      <c r="I83" s="333"/>
      <c r="J83" s="299"/>
      <c r="K83" s="297"/>
      <c r="L83" s="288"/>
      <c r="M83" s="289"/>
      <c r="N83" s="289"/>
      <c r="O83" s="289"/>
      <c r="P83" s="244"/>
    </row>
    <row r="84" spans="2:16">
      <c r="B84" s="300"/>
      <c r="C84" s="301"/>
      <c r="D84" s="302"/>
      <c r="E84" s="300"/>
      <c r="F84" s="301"/>
      <c r="G84" s="300"/>
      <c r="H84" s="300"/>
      <c r="I84" s="301"/>
      <c r="J84" s="303"/>
      <c r="K84" s="297"/>
      <c r="L84" s="290"/>
      <c r="M84" s="291"/>
      <c r="N84" s="292"/>
      <c r="O84" s="293"/>
      <c r="P84" s="244"/>
    </row>
    <row r="85" spans="2:16">
      <c r="B85" s="308">
        <v>1</v>
      </c>
      <c r="C85" s="329">
        <f t="array" ref="C85:C89">TRANSPOSE(E23:I23)</f>
        <v>44.78</v>
      </c>
      <c r="D85" s="302"/>
      <c r="E85" s="308">
        <v>1</v>
      </c>
      <c r="F85" s="329">
        <f t="array" ref="F85:F89">TRANSPOSE(E26:I26)</f>
        <v>46</v>
      </c>
      <c r="G85" s="300"/>
      <c r="H85" s="308"/>
      <c r="I85" s="329"/>
      <c r="J85" s="303"/>
      <c r="K85" s="297"/>
      <c r="L85" s="290"/>
      <c r="M85" s="291"/>
      <c r="N85" s="292"/>
      <c r="O85" s="293"/>
      <c r="P85" s="244"/>
    </row>
    <row r="86" spans="2:16">
      <c r="B86" s="308">
        <v>2</v>
      </c>
      <c r="C86" s="329">
        <v>51.85</v>
      </c>
      <c r="D86" s="302"/>
      <c r="E86" s="308">
        <v>2</v>
      </c>
      <c r="F86" s="329">
        <v>54</v>
      </c>
      <c r="G86" s="300"/>
      <c r="H86" s="308"/>
      <c r="I86" s="329"/>
      <c r="J86" s="303"/>
      <c r="K86" s="297"/>
      <c r="L86" s="290"/>
      <c r="M86" s="291"/>
      <c r="N86" s="292"/>
      <c r="O86" s="293"/>
      <c r="P86" s="244"/>
    </row>
    <row r="87" spans="2:16">
      <c r="B87" s="309">
        <v>3</v>
      </c>
      <c r="C87" s="331">
        <v>74.27</v>
      </c>
      <c r="D87" s="302"/>
      <c r="E87" s="309">
        <v>3</v>
      </c>
      <c r="F87" s="331">
        <v>246</v>
      </c>
      <c r="G87" s="300"/>
      <c r="H87" s="309"/>
      <c r="I87" s="331"/>
      <c r="J87" s="303"/>
      <c r="K87" s="297"/>
      <c r="L87" s="290"/>
      <c r="M87" s="291"/>
      <c r="N87" s="292"/>
      <c r="O87" s="293"/>
      <c r="P87" s="244"/>
    </row>
    <row r="88" spans="2:16">
      <c r="B88" s="309">
        <v>4</v>
      </c>
      <c r="C88" s="309">
        <v>83.39</v>
      </c>
      <c r="D88" s="302"/>
      <c r="E88" s="309">
        <v>4</v>
      </c>
      <c r="F88" s="309">
        <v>173</v>
      </c>
      <c r="G88" s="300"/>
      <c r="H88" s="309"/>
      <c r="I88" s="309"/>
      <c r="J88" s="303"/>
      <c r="K88" s="297"/>
      <c r="L88" s="290"/>
      <c r="M88" s="291"/>
      <c r="N88" s="292"/>
      <c r="O88" s="293"/>
      <c r="P88" s="244"/>
    </row>
    <row r="89" spans="2:16">
      <c r="B89" s="309">
        <v>5</v>
      </c>
      <c r="C89" s="309">
        <v>98.63</v>
      </c>
      <c r="D89" s="302"/>
      <c r="E89" s="309">
        <v>5</v>
      </c>
      <c r="F89" s="309">
        <v>280</v>
      </c>
      <c r="G89" s="300"/>
      <c r="H89" s="309"/>
      <c r="I89" s="309"/>
      <c r="J89" s="303"/>
      <c r="K89" s="297"/>
      <c r="L89" s="290"/>
      <c r="M89" s="294"/>
      <c r="N89" s="292"/>
      <c r="O89" s="293"/>
      <c r="P89" s="244"/>
    </row>
    <row r="90" spans="2:16">
      <c r="B90" s="309">
        <v>6</v>
      </c>
      <c r="C90" s="309">
        <f>FORECAST(B90,$C$85:$C$89,$B$85:$B$89)</f>
        <v>112.35599999999998</v>
      </c>
      <c r="D90" s="302"/>
      <c r="E90" s="309">
        <v>6</v>
      </c>
      <c r="F90" s="309">
        <f>FORECAST(E90,$F$85:$F$89,$E$85:$E$89)</f>
        <v>335.90000000000003</v>
      </c>
      <c r="G90" s="300"/>
      <c r="H90" s="309"/>
      <c r="I90" s="309"/>
      <c r="J90" s="303"/>
      <c r="K90" s="297"/>
      <c r="L90" s="290"/>
      <c r="M90" s="294"/>
      <c r="N90" s="292"/>
      <c r="O90" s="293"/>
      <c r="P90" s="244"/>
    </row>
    <row r="91" spans="2:16">
      <c r="B91" s="309">
        <v>7</v>
      </c>
      <c r="C91" s="309">
        <f t="shared" ref="C91:C94" si="36">FORECAST(B91,$C$85:$C$89,$B$85:$B$89)</f>
        <v>126.27999999999999</v>
      </c>
      <c r="D91" s="302"/>
      <c r="E91" s="309">
        <v>7</v>
      </c>
      <c r="F91" s="309">
        <f t="shared" ref="F91:F94" si="37">FORECAST(E91,$F$85:$F$89,$E$85:$E$89)</f>
        <v>394.6</v>
      </c>
      <c r="G91" s="300"/>
      <c r="H91" s="309"/>
      <c r="I91" s="309"/>
      <c r="J91" s="303"/>
      <c r="K91" s="297"/>
      <c r="L91" s="290"/>
      <c r="M91" s="294"/>
      <c r="N91" s="292"/>
      <c r="O91" s="293"/>
      <c r="P91" s="244"/>
    </row>
    <row r="92" spans="2:16">
      <c r="B92" s="309">
        <v>8</v>
      </c>
      <c r="C92" s="309">
        <f t="shared" si="36"/>
        <v>140.20399999999998</v>
      </c>
      <c r="D92" s="302"/>
      <c r="E92" s="309">
        <v>8</v>
      </c>
      <c r="F92" s="309">
        <f t="shared" si="37"/>
        <v>453.3</v>
      </c>
      <c r="G92" s="300"/>
      <c r="H92" s="309"/>
      <c r="I92" s="309"/>
      <c r="J92" s="303"/>
      <c r="K92" s="297"/>
      <c r="L92" s="290"/>
      <c r="M92" s="294"/>
      <c r="N92" s="292"/>
      <c r="O92" s="293"/>
      <c r="P92" s="244"/>
    </row>
    <row r="93" spans="2:16">
      <c r="B93" s="309">
        <v>9</v>
      </c>
      <c r="C93" s="309">
        <f t="shared" si="36"/>
        <v>154.12799999999999</v>
      </c>
      <c r="D93" s="302"/>
      <c r="E93" s="309">
        <v>9</v>
      </c>
      <c r="F93" s="309">
        <f t="shared" si="37"/>
        <v>512</v>
      </c>
      <c r="G93" s="300"/>
      <c r="H93" s="309"/>
      <c r="I93" s="309"/>
      <c r="J93" s="303"/>
      <c r="K93" s="297"/>
      <c r="L93" s="290"/>
      <c r="M93" s="294"/>
      <c r="N93" s="292"/>
      <c r="O93" s="293"/>
      <c r="P93" s="244"/>
    </row>
    <row r="94" spans="2:16">
      <c r="B94" s="310">
        <v>10</v>
      </c>
      <c r="C94" s="309">
        <f t="shared" si="36"/>
        <v>168.05199999999996</v>
      </c>
      <c r="D94" s="297"/>
      <c r="E94" s="310">
        <v>10</v>
      </c>
      <c r="F94" s="309">
        <f t="shared" si="37"/>
        <v>570.70000000000005</v>
      </c>
      <c r="G94" s="297"/>
      <c r="H94" s="310"/>
      <c r="I94" s="309"/>
      <c r="J94" s="297"/>
      <c r="K94" s="297"/>
      <c r="L94" s="244"/>
      <c r="M94" s="244"/>
      <c r="N94" s="244"/>
      <c r="O94" s="244"/>
      <c r="P94" s="244"/>
    </row>
    <row r="95" spans="2:16">
      <c r="L95" s="244"/>
      <c r="M95" s="244"/>
      <c r="N95" s="244"/>
      <c r="O95" s="244"/>
      <c r="P95" s="244"/>
    </row>
    <row r="96" spans="2:16">
      <c r="L96" s="244"/>
      <c r="M96" s="244"/>
      <c r="N96" s="244"/>
      <c r="O96" s="244"/>
      <c r="P96" s="244"/>
    </row>
    <row r="97" spans="12:16">
      <c r="L97" s="244"/>
      <c r="M97" s="244"/>
      <c r="N97" s="244"/>
      <c r="O97" s="244"/>
      <c r="P97" s="244"/>
    </row>
  </sheetData>
  <mergeCells count="5">
    <mergeCell ref="B68:E68"/>
    <mergeCell ref="L68:O68"/>
    <mergeCell ref="B82:E82"/>
    <mergeCell ref="G82:J82"/>
    <mergeCell ref="L82:O8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72EB-18B3-40B8-98F3-18B934900945}">
  <sheetPr>
    <tabColor theme="8" tint="-0.499984740745262"/>
  </sheetPr>
  <dimension ref="A1"/>
  <sheetViews>
    <sheetView workbookViewId="0">
      <selection activeCell="O20" sqref="O20"/>
    </sheetView>
  </sheetViews>
  <sheetFormatPr defaultRowHeight="13.8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BA60-CA0C-405C-8418-D1F2318D67A7}">
  <dimension ref="B2:M25"/>
  <sheetViews>
    <sheetView showGridLines="0" workbookViewId="0">
      <selection activeCell="H29" sqref="H29"/>
    </sheetView>
  </sheetViews>
  <sheetFormatPr defaultRowHeight="13.8"/>
  <cols>
    <col min="2" max="13" width="16.5" style="212" customWidth="1"/>
  </cols>
  <sheetData>
    <row r="2" spans="2:13">
      <c r="B2" s="212" t="s">
        <v>226</v>
      </c>
      <c r="C2" s="212" t="s">
        <v>227</v>
      </c>
      <c r="D2" s="212" t="s">
        <v>234</v>
      </c>
      <c r="E2" s="212" t="s">
        <v>344</v>
      </c>
      <c r="F2" s="212" t="s">
        <v>348</v>
      </c>
      <c r="G2" s="212" t="s">
        <v>236</v>
      </c>
      <c r="H2" s="212" t="s">
        <v>345</v>
      </c>
      <c r="I2" s="212" t="s">
        <v>328</v>
      </c>
      <c r="J2" s="212" t="s">
        <v>349</v>
      </c>
      <c r="K2" s="212" t="s">
        <v>65</v>
      </c>
      <c r="L2" s="212" t="s">
        <v>346</v>
      </c>
      <c r="M2" s="212" t="s">
        <v>347</v>
      </c>
    </row>
    <row r="3" spans="2:13">
      <c r="B3" s="212">
        <v>1</v>
      </c>
      <c r="C3" s="212" t="s">
        <v>229</v>
      </c>
      <c r="D3" s="213">
        <v>1760</v>
      </c>
      <c r="E3" s="213">
        <v>239.93</v>
      </c>
      <c r="F3" s="213">
        <f>E3*D3</f>
        <v>422276.8</v>
      </c>
      <c r="G3" s="213">
        <v>4627.32</v>
      </c>
      <c r="H3" s="213">
        <v>11603.08</v>
      </c>
      <c r="I3" s="213">
        <f>G3-H3</f>
        <v>-6975.76</v>
      </c>
      <c r="J3" s="213">
        <f>F3+G3-H3</f>
        <v>415301.04</v>
      </c>
      <c r="K3" s="213">
        <f>1/(F18)*J3</f>
        <v>20082.255319148935</v>
      </c>
      <c r="L3" s="213">
        <v>59910.52</v>
      </c>
      <c r="M3" s="213">
        <v>12117.01</v>
      </c>
    </row>
    <row r="4" spans="2:13">
      <c r="B4" s="212">
        <v>2</v>
      </c>
      <c r="C4" s="212" t="s">
        <v>230</v>
      </c>
      <c r="D4" s="213">
        <v>9340</v>
      </c>
      <c r="E4" s="213">
        <v>26.55</v>
      </c>
      <c r="F4" s="213">
        <f t="shared" ref="F4:F10" si="0">E4*D4</f>
        <v>247977</v>
      </c>
      <c r="G4" s="213">
        <v>7</v>
      </c>
      <c r="H4" s="213">
        <v>3414</v>
      </c>
      <c r="I4" s="213">
        <f t="shared" ref="I4:I10" si="1">G4-H4</f>
        <v>-3407</v>
      </c>
      <c r="J4" s="213">
        <f t="shared" ref="J4:J10" si="2">F4+G4-H4</f>
        <v>244570</v>
      </c>
      <c r="K4" s="213">
        <f t="shared" ref="K4:K10" si="3">1/(F19)*J4</f>
        <v>4419.4073003252615</v>
      </c>
      <c r="L4" s="213">
        <v>11230</v>
      </c>
      <c r="M4" s="213">
        <v>2925</v>
      </c>
    </row>
    <row r="5" spans="2:13">
      <c r="B5" s="212">
        <v>3</v>
      </c>
      <c r="C5" s="212" t="s">
        <v>231</v>
      </c>
      <c r="D5" s="213">
        <v>4656.8999999999996</v>
      </c>
      <c r="E5" s="213">
        <v>38.04</v>
      </c>
      <c r="F5" s="213">
        <f t="shared" si="0"/>
        <v>177148.476</v>
      </c>
      <c r="G5" s="213">
        <v>15025.5</v>
      </c>
      <c r="H5" s="213">
        <v>1165.2</v>
      </c>
      <c r="I5" s="213">
        <f t="shared" si="1"/>
        <v>13860.3</v>
      </c>
      <c r="J5" s="213">
        <f t="shared" si="2"/>
        <v>191008.77599999998</v>
      </c>
      <c r="K5" s="213">
        <f t="shared" si="3"/>
        <v>5122.2519710378119</v>
      </c>
      <c r="L5" s="213">
        <v>15723</v>
      </c>
      <c r="M5" s="213">
        <v>2156</v>
      </c>
    </row>
    <row r="6" spans="2:13">
      <c r="B6" s="212">
        <v>4</v>
      </c>
      <c r="C6" s="212" t="s">
        <v>232</v>
      </c>
      <c r="D6" s="213">
        <v>1117.5</v>
      </c>
      <c r="E6" s="213">
        <v>99.75</v>
      </c>
      <c r="F6" s="213">
        <f t="shared" si="0"/>
        <v>111470.625</v>
      </c>
      <c r="G6" s="213">
        <v>12496</v>
      </c>
      <c r="H6" s="213">
        <v>1416.6</v>
      </c>
      <c r="I6" s="213">
        <f t="shared" si="1"/>
        <v>11079.4</v>
      </c>
      <c r="J6" s="213">
        <f t="shared" si="2"/>
        <v>122550.02499999999</v>
      </c>
      <c r="K6" s="213">
        <f t="shared" si="3"/>
        <v>8778.6550859598847</v>
      </c>
      <c r="L6" s="213">
        <v>28591.7</v>
      </c>
      <c r="M6" s="213">
        <v>4592.7</v>
      </c>
    </row>
    <row r="7" spans="2:13">
      <c r="B7" s="212">
        <v>5</v>
      </c>
      <c r="C7" s="212" t="s">
        <v>233</v>
      </c>
      <c r="D7" s="213">
        <v>2036.6</v>
      </c>
      <c r="E7" s="213">
        <v>54.03</v>
      </c>
      <c r="F7" s="213">
        <f t="shared" si="0"/>
        <v>110037.49799999999</v>
      </c>
      <c r="G7" s="213">
        <v>2518.48</v>
      </c>
      <c r="H7" s="213">
        <v>113.7</v>
      </c>
      <c r="I7" s="213">
        <f t="shared" si="1"/>
        <v>2404.7800000000002</v>
      </c>
      <c r="J7" s="213">
        <f t="shared" si="2"/>
        <v>112442.27799999999</v>
      </c>
      <c r="K7" s="213">
        <f t="shared" si="3"/>
        <v>2087.6769030820647</v>
      </c>
      <c r="L7" s="213">
        <v>7269.64</v>
      </c>
      <c r="M7" s="213">
        <v>1090.53</v>
      </c>
    </row>
    <row r="8" spans="2:13">
      <c r="B8" s="212">
        <v>6</v>
      </c>
      <c r="C8" s="212" t="s">
        <v>335</v>
      </c>
      <c r="D8" s="213">
        <v>1301</v>
      </c>
      <c r="E8" s="213">
        <v>80.790000000000006</v>
      </c>
      <c r="F8" s="213">
        <f t="shared" si="0"/>
        <v>105107.79000000001</v>
      </c>
      <c r="G8" s="213">
        <v>613.77</v>
      </c>
      <c r="H8" s="213">
        <v>1307.42</v>
      </c>
      <c r="I8" s="213">
        <f t="shared" si="1"/>
        <v>-693.65000000000009</v>
      </c>
      <c r="J8" s="213">
        <f t="shared" si="2"/>
        <v>104414.14000000001</v>
      </c>
      <c r="K8" s="213">
        <f t="shared" si="3"/>
        <v>6131.1884908984148</v>
      </c>
      <c r="L8" s="213">
        <v>28324.400000000001</v>
      </c>
      <c r="M8" s="213">
        <v>3355.68</v>
      </c>
    </row>
    <row r="9" spans="2:13">
      <c r="B9" s="212">
        <v>7</v>
      </c>
      <c r="C9" s="212" t="s">
        <v>336</v>
      </c>
      <c r="D9" s="213">
        <v>1197</v>
      </c>
      <c r="E9" s="213">
        <v>83.47</v>
      </c>
      <c r="F9" s="213">
        <f t="shared" si="0"/>
        <v>99913.59</v>
      </c>
      <c r="G9" s="213">
        <v>7734.1</v>
      </c>
      <c r="H9" s="213">
        <v>3348.7</v>
      </c>
      <c r="I9" s="213">
        <f t="shared" si="1"/>
        <v>4385.4000000000005</v>
      </c>
      <c r="J9" s="213">
        <f t="shared" si="2"/>
        <v>104298.99</v>
      </c>
      <c r="K9" s="213">
        <f t="shared" si="3"/>
        <v>6576.2288776796977</v>
      </c>
      <c r="L9" s="213">
        <v>33227.9</v>
      </c>
      <c r="M9" s="213">
        <v>3183.3</v>
      </c>
    </row>
    <row r="10" spans="2:13">
      <c r="B10" s="212">
        <v>8</v>
      </c>
      <c r="C10" s="212" t="s">
        <v>242</v>
      </c>
      <c r="D10" s="213">
        <v>309.10000000000002</v>
      </c>
      <c r="E10" s="213">
        <v>45.32</v>
      </c>
      <c r="F10" s="213">
        <f t="shared" si="0"/>
        <v>14008.412</v>
      </c>
      <c r="G10" s="213">
        <v>343.38</v>
      </c>
      <c r="H10" s="213">
        <v>989.65</v>
      </c>
      <c r="I10" s="213">
        <f t="shared" si="1"/>
        <v>-646.27</v>
      </c>
      <c r="J10" s="213">
        <f t="shared" si="2"/>
        <v>13362.142</v>
      </c>
      <c r="K10" s="213">
        <f t="shared" si="3"/>
        <v>816.25791081246177</v>
      </c>
      <c r="L10" s="213">
        <v>3171.75</v>
      </c>
      <c r="M10" s="213">
        <v>521.27</v>
      </c>
    </row>
    <row r="17" spans="2:7">
      <c r="B17" s="212" t="s">
        <v>226</v>
      </c>
      <c r="C17" s="212" t="s">
        <v>227</v>
      </c>
      <c r="D17" s="212" t="s">
        <v>234</v>
      </c>
      <c r="E17" s="212" t="s">
        <v>350</v>
      </c>
      <c r="F17" s="212" t="s">
        <v>351</v>
      </c>
      <c r="G17" s="212" t="s">
        <v>352</v>
      </c>
    </row>
    <row r="18" spans="2:7">
      <c r="B18" s="212">
        <v>1</v>
      </c>
      <c r="C18" s="212" t="s">
        <v>229</v>
      </c>
      <c r="D18" s="212">
        <v>1760</v>
      </c>
      <c r="E18" s="212">
        <v>17102.27</v>
      </c>
      <c r="F18" s="212">
        <v>20.68</v>
      </c>
      <c r="G18" s="212">
        <v>2976.02</v>
      </c>
    </row>
    <row r="19" spans="2:7">
      <c r="B19" s="212">
        <v>2</v>
      </c>
      <c r="C19" s="212" t="s">
        <v>230</v>
      </c>
      <c r="D19" s="212">
        <v>9340</v>
      </c>
      <c r="E19" s="212">
        <v>3935</v>
      </c>
      <c r="F19" s="212">
        <v>55.34</v>
      </c>
      <c r="G19" s="212">
        <v>484</v>
      </c>
    </row>
    <row r="20" spans="2:7">
      <c r="B20" s="212">
        <v>3</v>
      </c>
      <c r="C20" s="212" t="s">
        <v>231</v>
      </c>
      <c r="D20" s="212">
        <v>4656.8999999999996</v>
      </c>
      <c r="E20" s="212">
        <v>3611</v>
      </c>
      <c r="F20" s="212">
        <v>37.29</v>
      </c>
      <c r="G20" s="212">
        <v>1511</v>
      </c>
    </row>
    <row r="21" spans="2:7">
      <c r="B21" s="212">
        <v>4</v>
      </c>
      <c r="C21" s="212" t="s">
        <v>232</v>
      </c>
      <c r="D21" s="212">
        <v>1117.5</v>
      </c>
      <c r="E21" s="212">
        <v>7052.1</v>
      </c>
      <c r="F21" s="212">
        <v>13.96</v>
      </c>
      <c r="G21" s="212">
        <v>1724.6</v>
      </c>
    </row>
    <row r="22" spans="2:7">
      <c r="B22" s="212">
        <v>5</v>
      </c>
      <c r="C22" s="212" t="s">
        <v>233</v>
      </c>
      <c r="D22" s="212">
        <v>2036.6</v>
      </c>
      <c r="E22" s="212">
        <v>1600.47</v>
      </c>
      <c r="F22" s="212">
        <v>53.86</v>
      </c>
      <c r="G22" s="212">
        <v>487.08</v>
      </c>
    </row>
    <row r="23" spans="2:7">
      <c r="B23" s="212">
        <v>6</v>
      </c>
      <c r="C23" s="212" t="s">
        <v>335</v>
      </c>
      <c r="D23" s="212">
        <v>1301</v>
      </c>
      <c r="E23" s="212">
        <v>4868.91</v>
      </c>
      <c r="F23" s="212">
        <v>17.03</v>
      </c>
      <c r="G23" s="212">
        <v>1262.5</v>
      </c>
    </row>
    <row r="24" spans="2:7">
      <c r="B24" s="212">
        <v>7</v>
      </c>
      <c r="C24" s="212" t="s">
        <v>336</v>
      </c>
      <c r="D24" s="212">
        <v>1197</v>
      </c>
      <c r="E24" s="212">
        <v>4457.3</v>
      </c>
      <c r="F24" s="212">
        <v>15.86</v>
      </c>
      <c r="G24" s="212">
        <v>2119.3000000000002</v>
      </c>
    </row>
    <row r="25" spans="2:7">
      <c r="B25" s="212">
        <v>8</v>
      </c>
      <c r="C25" s="212" t="s">
        <v>242</v>
      </c>
      <c r="D25" s="212">
        <v>309.10000000000002</v>
      </c>
      <c r="E25" s="212">
        <v>715.6</v>
      </c>
      <c r="F25" s="212">
        <v>16.37</v>
      </c>
      <c r="G25" s="212">
        <v>100.4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9E44-AFD1-4051-ADA3-ADC4EAC9DAC6}">
  <dimension ref="A1:K93"/>
  <sheetViews>
    <sheetView zoomScale="78" zoomScaleNormal="120" zoomScalePageLayoutView="120" workbookViewId="0">
      <pane xSplit="1" ySplit="1" topLeftCell="B49" activePane="bottomRight" state="frozen"/>
      <selection sqref="A1:XFD1048576"/>
      <selection pane="topRight" sqref="A1:XFD1048576"/>
      <selection pane="bottomLeft" sqref="A1:XFD1048576"/>
      <selection pane="bottomRight" activeCell="B79" sqref="B79"/>
    </sheetView>
  </sheetViews>
  <sheetFormatPr defaultColWidth="9.875" defaultRowHeight="13.8"/>
  <cols>
    <col min="1" max="1" width="31.125" style="3" bestFit="1" customWidth="1"/>
    <col min="2" max="11" width="15.125" style="3" bestFit="1" customWidth="1"/>
    <col min="12" max="16384" width="9.875" style="3"/>
  </cols>
  <sheetData>
    <row r="1" spans="1:11" s="2" customFormat="1">
      <c r="A1" s="2" t="s">
        <v>53</v>
      </c>
      <c r="B1" s="2" t="s">
        <v>52</v>
      </c>
      <c r="E1" s="447" t="str">
        <f>IF(B2&lt;&gt;B3, "A NEW VERSION OF THE WORKSHEET IS AVAILABLE", "")</f>
        <v/>
      </c>
      <c r="F1" s="447"/>
      <c r="G1" s="447"/>
      <c r="H1" s="447"/>
      <c r="I1" s="447"/>
      <c r="J1" s="447"/>
      <c r="K1" s="447"/>
    </row>
    <row r="2" spans="1:11">
      <c r="A2" s="2" t="s">
        <v>51</v>
      </c>
      <c r="B2" s="3">
        <v>2.1</v>
      </c>
      <c r="E2" s="448" t="s">
        <v>50</v>
      </c>
      <c r="F2" s="448"/>
      <c r="G2" s="448"/>
      <c r="H2" s="448"/>
      <c r="I2" s="448"/>
      <c r="J2" s="448"/>
      <c r="K2" s="448"/>
    </row>
    <row r="3" spans="1:11">
      <c r="A3" s="2" t="s">
        <v>49</v>
      </c>
      <c r="B3" s="3">
        <v>2.1</v>
      </c>
    </row>
    <row r="4" spans="1:11">
      <c r="A4" s="2"/>
    </row>
    <row r="5" spans="1:11">
      <c r="A5" s="2" t="s">
        <v>48</v>
      </c>
    </row>
    <row r="6" spans="1:11">
      <c r="A6" s="3" t="s">
        <v>47</v>
      </c>
      <c r="B6" s="3">
        <f>IF(B9&gt;0, B9/B8, 0)</f>
        <v>45.316369778869777</v>
      </c>
    </row>
    <row r="7" spans="1:11">
      <c r="A7" s="3" t="s">
        <v>46</v>
      </c>
      <c r="B7" s="4">
        <v>1</v>
      </c>
    </row>
    <row r="8" spans="1:11">
      <c r="A8" s="3" t="s">
        <v>45</v>
      </c>
      <c r="B8" s="4">
        <v>325.60000000000002</v>
      </c>
    </row>
    <row r="9" spans="1:11">
      <c r="A9" s="3" t="s">
        <v>44</v>
      </c>
      <c r="B9" s="4">
        <v>14755.01</v>
      </c>
    </row>
    <row r="15" spans="1:11">
      <c r="A15" s="2" t="s">
        <v>43</v>
      </c>
    </row>
    <row r="16" spans="1:11" s="7" customFormat="1">
      <c r="A16" s="5" t="s">
        <v>9</v>
      </c>
      <c r="B16" s="6">
        <v>42825</v>
      </c>
      <c r="C16" s="6">
        <v>43190</v>
      </c>
      <c r="D16" s="6">
        <v>43555</v>
      </c>
      <c r="E16" s="6">
        <v>43921</v>
      </c>
      <c r="F16" s="6">
        <v>44286</v>
      </c>
      <c r="G16" s="6">
        <v>44651</v>
      </c>
      <c r="H16" s="6">
        <v>45016</v>
      </c>
      <c r="I16" s="6">
        <v>45382</v>
      </c>
      <c r="J16" s="6">
        <v>45747</v>
      </c>
      <c r="K16" s="6">
        <v>46112</v>
      </c>
    </row>
    <row r="17" spans="1:11">
      <c r="A17" s="3" t="s">
        <v>33</v>
      </c>
      <c r="B17" s="4">
        <v>767.16</v>
      </c>
      <c r="C17" s="4">
        <v>912.69</v>
      </c>
      <c r="D17" s="4">
        <v>1000.07</v>
      </c>
      <c r="E17" s="4">
        <v>1134.21</v>
      </c>
      <c r="F17" s="4">
        <v>1376.18</v>
      </c>
      <c r="G17" s="4">
        <v>1490.84</v>
      </c>
      <c r="H17" s="4">
        <v>1852.14</v>
      </c>
      <c r="I17" s="4">
        <v>2177.41</v>
      </c>
      <c r="J17" s="4">
        <v>2622.85</v>
      </c>
      <c r="K17" s="4">
        <v>2950.94</v>
      </c>
    </row>
    <row r="18" spans="1:11">
      <c r="A18" s="3" t="s">
        <v>42</v>
      </c>
      <c r="B18" s="4">
        <v>506.68</v>
      </c>
      <c r="C18" s="4">
        <v>502.58</v>
      </c>
      <c r="D18" s="4">
        <v>517.91</v>
      </c>
      <c r="E18" s="4">
        <v>514.88</v>
      </c>
      <c r="F18" s="4">
        <v>731.33</v>
      </c>
      <c r="G18" s="4">
        <v>703.92</v>
      </c>
      <c r="H18" s="4">
        <v>927.75</v>
      </c>
      <c r="I18" s="4">
        <v>1111.98</v>
      </c>
      <c r="J18" s="4">
        <v>1327.5</v>
      </c>
      <c r="K18" s="4">
        <v>1413.7</v>
      </c>
    </row>
    <row r="19" spans="1:11">
      <c r="A19" s="3" t="s">
        <v>41</v>
      </c>
      <c r="B19" s="4">
        <v>47.94</v>
      </c>
      <c r="C19" s="4">
        <v>-20.55</v>
      </c>
      <c r="D19" s="4">
        <v>19.899999999999999</v>
      </c>
      <c r="E19" s="4">
        <v>-52.95</v>
      </c>
      <c r="F19" s="4">
        <v>136.28</v>
      </c>
      <c r="G19" s="4">
        <v>-12.9</v>
      </c>
      <c r="H19" s="4">
        <v>6.39</v>
      </c>
      <c r="I19" s="4">
        <v>73.86</v>
      </c>
      <c r="J19" s="4">
        <v>183.76</v>
      </c>
      <c r="K19" s="4">
        <v>136.41999999999999</v>
      </c>
    </row>
    <row r="20" spans="1:11">
      <c r="A20" s="3" t="s">
        <v>40</v>
      </c>
      <c r="B20" s="4">
        <v>12.97</v>
      </c>
      <c r="C20" s="4">
        <v>11.55</v>
      </c>
      <c r="D20" s="4">
        <v>13.99</v>
      </c>
      <c r="E20" s="4">
        <v>14</v>
      </c>
      <c r="F20" s="4">
        <v>16.420000000000002</v>
      </c>
      <c r="G20" s="4">
        <v>18.59</v>
      </c>
      <c r="H20" s="4">
        <v>24.5</v>
      </c>
      <c r="I20" s="4">
        <v>36.94</v>
      </c>
      <c r="J20" s="4">
        <v>40.08</v>
      </c>
      <c r="K20" s="4">
        <v>54.08</v>
      </c>
    </row>
    <row r="21" spans="1:11">
      <c r="A21" s="3" t="s">
        <v>39</v>
      </c>
      <c r="B21" s="4">
        <v>33.630000000000003</v>
      </c>
      <c r="C21" s="4">
        <v>42.45</v>
      </c>
      <c r="D21" s="4">
        <v>49.3</v>
      </c>
      <c r="E21" s="4">
        <v>32.130000000000003</v>
      </c>
      <c r="F21" s="4">
        <v>34.04</v>
      </c>
      <c r="G21" s="4">
        <v>12.73</v>
      </c>
      <c r="H21" s="4">
        <v>18.739999999999998</v>
      </c>
      <c r="I21" s="4">
        <v>87.3</v>
      </c>
      <c r="J21" s="4">
        <v>140.08000000000001</v>
      </c>
      <c r="K21" s="4">
        <v>155.88</v>
      </c>
    </row>
    <row r="22" spans="1:11">
      <c r="A22" s="3" t="s">
        <v>38</v>
      </c>
      <c r="B22" s="4">
        <v>149.69999999999999</v>
      </c>
      <c r="C22" s="4">
        <v>147.75</v>
      </c>
      <c r="D22" s="4">
        <v>159.07</v>
      </c>
      <c r="E22" s="4">
        <v>168.42</v>
      </c>
      <c r="F22" s="4">
        <v>197.32</v>
      </c>
      <c r="G22" s="4">
        <v>220.3</v>
      </c>
      <c r="H22" s="4">
        <v>239.37</v>
      </c>
      <c r="I22" s="4">
        <v>293.64</v>
      </c>
      <c r="J22" s="4">
        <v>350.3</v>
      </c>
      <c r="K22" s="4">
        <v>420.93</v>
      </c>
    </row>
    <row r="23" spans="1:11">
      <c r="A23" s="3" t="s">
        <v>37</v>
      </c>
      <c r="B23" s="4">
        <v>65.180000000000007</v>
      </c>
      <c r="C23" s="4">
        <v>88.83</v>
      </c>
      <c r="D23" s="4">
        <v>109.58</v>
      </c>
      <c r="E23" s="4">
        <v>120.38</v>
      </c>
      <c r="F23" s="4">
        <v>154.55000000000001</v>
      </c>
      <c r="G23" s="4">
        <v>148.41</v>
      </c>
      <c r="H23" s="4">
        <v>144.74</v>
      </c>
      <c r="I23" s="4">
        <v>236.41</v>
      </c>
      <c r="J23" s="4">
        <v>374.24</v>
      </c>
      <c r="K23" s="4">
        <v>370.25</v>
      </c>
    </row>
    <row r="24" spans="1:11">
      <c r="A24" s="3" t="s">
        <v>36</v>
      </c>
      <c r="B24" s="4">
        <v>2.21</v>
      </c>
      <c r="C24" s="4">
        <v>20.54</v>
      </c>
      <c r="D24" s="4">
        <v>37.979999999999997</v>
      </c>
      <c r="E24" s="4">
        <v>39.200000000000003</v>
      </c>
      <c r="F24" s="4">
        <v>39.17</v>
      </c>
      <c r="G24" s="4">
        <v>115.1</v>
      </c>
      <c r="H24" s="4">
        <v>163.84</v>
      </c>
      <c r="I24" s="4">
        <v>26.42</v>
      </c>
      <c r="J24" s="4">
        <v>41.7</v>
      </c>
      <c r="K24" s="4">
        <v>71.66</v>
      </c>
    </row>
    <row r="25" spans="1:11">
      <c r="A25" s="3" t="s">
        <v>31</v>
      </c>
      <c r="B25" s="4">
        <v>7.04</v>
      </c>
      <c r="C25" s="4">
        <v>8.42</v>
      </c>
      <c r="D25" s="4">
        <v>4.63</v>
      </c>
      <c r="E25" s="4">
        <v>0.33</v>
      </c>
      <c r="F25" s="4">
        <v>6.68</v>
      </c>
      <c r="G25" s="4">
        <v>41.85</v>
      </c>
      <c r="H25" s="4">
        <v>59.05</v>
      </c>
      <c r="I25" s="4">
        <v>50.42</v>
      </c>
      <c r="J25" s="4">
        <v>66.3</v>
      </c>
      <c r="K25" s="4">
        <v>82.46</v>
      </c>
    </row>
    <row r="26" spans="1:11">
      <c r="A26" s="3" t="s">
        <v>0</v>
      </c>
      <c r="B26" s="4">
        <v>30.09</v>
      </c>
      <c r="C26" s="4">
        <v>26.84</v>
      </c>
      <c r="D26" s="4">
        <v>22.8</v>
      </c>
      <c r="E26" s="4">
        <v>26.66</v>
      </c>
      <c r="F26" s="4">
        <v>36.15</v>
      </c>
      <c r="G26" s="4">
        <v>44.78</v>
      </c>
      <c r="H26" s="4">
        <v>51.85</v>
      </c>
      <c r="I26" s="4">
        <v>74.27</v>
      </c>
      <c r="J26" s="4">
        <v>83.39</v>
      </c>
      <c r="K26" s="4">
        <v>98.63</v>
      </c>
    </row>
    <row r="27" spans="1:11">
      <c r="A27" s="3" t="s">
        <v>1</v>
      </c>
      <c r="B27" s="4">
        <v>6.78</v>
      </c>
      <c r="C27" s="4">
        <v>10.220000000000001</v>
      </c>
      <c r="D27" s="4">
        <v>9.66</v>
      </c>
      <c r="E27" s="4">
        <v>8.75</v>
      </c>
      <c r="F27" s="4">
        <v>7.99</v>
      </c>
      <c r="G27" s="4">
        <v>8.4499999999999993</v>
      </c>
      <c r="H27" s="4">
        <v>9.1300000000000008</v>
      </c>
      <c r="I27" s="4">
        <v>11.2</v>
      </c>
      <c r="J27" s="4">
        <v>11.66</v>
      </c>
      <c r="K27" s="4">
        <v>24.13</v>
      </c>
    </row>
    <row r="28" spans="1:11">
      <c r="A28" s="3" t="s">
        <v>30</v>
      </c>
      <c r="B28" s="4">
        <v>14.9</v>
      </c>
      <c r="C28" s="4">
        <v>49.8</v>
      </c>
      <c r="D28" s="4">
        <v>104.31</v>
      </c>
      <c r="E28" s="4">
        <v>157.16999999999999</v>
      </c>
      <c r="F28" s="4">
        <v>302.17</v>
      </c>
      <c r="G28" s="4">
        <v>247.51</v>
      </c>
      <c r="H28" s="4">
        <v>337.66</v>
      </c>
      <c r="I28" s="4">
        <v>423.53</v>
      </c>
      <c r="J28" s="4">
        <v>503.96</v>
      </c>
      <c r="K28" s="4">
        <v>560.55999999999995</v>
      </c>
    </row>
    <row r="29" spans="1:11">
      <c r="A29" s="3" t="s">
        <v>29</v>
      </c>
      <c r="B29" s="4">
        <v>3.56</v>
      </c>
      <c r="C29" s="4">
        <v>14</v>
      </c>
      <c r="D29" s="4">
        <v>23.86</v>
      </c>
      <c r="E29" s="4">
        <v>36.42</v>
      </c>
      <c r="F29" s="4">
        <v>63.62</v>
      </c>
      <c r="G29" s="4">
        <v>60.7</v>
      </c>
      <c r="H29" s="4">
        <v>72.33</v>
      </c>
      <c r="I29" s="4">
        <v>108.63</v>
      </c>
      <c r="J29" s="4">
        <v>121.35</v>
      </c>
      <c r="K29" s="4">
        <v>140.49</v>
      </c>
    </row>
    <row r="30" spans="1:11">
      <c r="A30" s="3" t="s">
        <v>28</v>
      </c>
      <c r="B30" s="4">
        <v>8.84</v>
      </c>
      <c r="C30" s="4">
        <v>32.94</v>
      </c>
      <c r="D30" s="4">
        <v>76.459999999999994</v>
      </c>
      <c r="E30" s="4">
        <v>120.75</v>
      </c>
      <c r="F30" s="4">
        <v>235.94</v>
      </c>
      <c r="G30" s="4">
        <v>184.57</v>
      </c>
      <c r="H30" s="4">
        <v>266.31</v>
      </c>
      <c r="I30" s="4">
        <v>313.7</v>
      </c>
      <c r="J30" s="4">
        <v>380.58</v>
      </c>
      <c r="K30" s="4">
        <v>417.9</v>
      </c>
    </row>
    <row r="31" spans="1:11">
      <c r="A31" s="3" t="s">
        <v>35</v>
      </c>
      <c r="B31" s="4">
        <v>2.0499999999999998</v>
      </c>
      <c r="C31" s="4">
        <v>2.0499999999999998</v>
      </c>
      <c r="D31" s="4">
        <v>2.0499999999999998</v>
      </c>
      <c r="E31" s="4">
        <v>4.09</v>
      </c>
      <c r="F31" s="4">
        <v>10.23</v>
      </c>
      <c r="G31" s="4">
        <v>10.23</v>
      </c>
      <c r="H31" s="4">
        <v>22.66</v>
      </c>
      <c r="I31" s="4">
        <v>27.19</v>
      </c>
      <c r="J31" s="4">
        <v>36.26</v>
      </c>
      <c r="K31" s="4">
        <v>40.79</v>
      </c>
    </row>
    <row r="40" spans="1:11">
      <c r="A40" s="2" t="s">
        <v>34</v>
      </c>
    </row>
    <row r="41" spans="1:11" s="7" customFormat="1">
      <c r="A41" s="5" t="s">
        <v>9</v>
      </c>
      <c r="B41" s="6">
        <v>45382</v>
      </c>
      <c r="C41" s="6">
        <v>45473</v>
      </c>
      <c r="D41" s="6">
        <v>45565</v>
      </c>
      <c r="E41" s="6">
        <v>45657</v>
      </c>
      <c r="F41" s="6">
        <v>45747</v>
      </c>
      <c r="G41" s="6">
        <v>45838</v>
      </c>
      <c r="H41" s="6">
        <v>45930</v>
      </c>
      <c r="I41" s="6">
        <v>46022</v>
      </c>
      <c r="J41" s="6">
        <v>46112</v>
      </c>
      <c r="K41" s="6">
        <v>46203</v>
      </c>
    </row>
    <row r="42" spans="1:11">
      <c r="A42" s="3" t="s">
        <v>33</v>
      </c>
      <c r="B42" s="4">
        <v>560.01</v>
      </c>
      <c r="C42" s="4">
        <v>590.62</v>
      </c>
      <c r="D42" s="4">
        <v>641.91999999999996</v>
      </c>
      <c r="E42" s="4">
        <v>681.85</v>
      </c>
      <c r="F42" s="4">
        <v>708.46</v>
      </c>
      <c r="G42" s="4">
        <v>619.99</v>
      </c>
      <c r="H42" s="4">
        <v>720.41</v>
      </c>
      <c r="I42" s="4">
        <v>754.43</v>
      </c>
      <c r="J42" s="4">
        <v>856.11</v>
      </c>
      <c r="K42" s="4">
        <v>840.8</v>
      </c>
    </row>
    <row r="43" spans="1:11">
      <c r="A43" s="3" t="s">
        <v>32</v>
      </c>
      <c r="B43" s="4">
        <v>450.37</v>
      </c>
      <c r="C43" s="4">
        <v>462.19</v>
      </c>
      <c r="D43" s="4">
        <v>495.11</v>
      </c>
      <c r="E43" s="4">
        <v>543.08000000000004</v>
      </c>
      <c r="F43" s="4">
        <v>581.52</v>
      </c>
      <c r="G43" s="4">
        <v>519.86</v>
      </c>
      <c r="H43" s="4">
        <v>575.91</v>
      </c>
      <c r="I43" s="4">
        <v>593.67999999999995</v>
      </c>
      <c r="J43" s="4">
        <v>660.68</v>
      </c>
      <c r="K43" s="4">
        <v>627.76</v>
      </c>
    </row>
    <row r="44" spans="1:11">
      <c r="A44" s="3" t="s">
        <v>31</v>
      </c>
      <c r="B44" s="4">
        <v>16.53</v>
      </c>
      <c r="C44" s="4">
        <v>14.95</v>
      </c>
      <c r="D44" s="4">
        <v>-7.0000000000000007E-2</v>
      </c>
      <c r="E44" s="4">
        <v>27.85</v>
      </c>
      <c r="F44" s="4">
        <v>15.34</v>
      </c>
      <c r="G44" s="4">
        <v>5.64</v>
      </c>
      <c r="H44" s="4">
        <v>21.57</v>
      </c>
      <c r="I44" s="4">
        <v>20.14</v>
      </c>
      <c r="J44" s="4">
        <v>35.17</v>
      </c>
      <c r="K44" s="4">
        <v>25.4</v>
      </c>
    </row>
    <row r="45" spans="1:11">
      <c r="A45" s="3" t="s">
        <v>0</v>
      </c>
      <c r="B45" s="4">
        <v>21.06</v>
      </c>
      <c r="C45" s="4">
        <v>20.440000000000001</v>
      </c>
      <c r="D45" s="4">
        <v>19.510000000000002</v>
      </c>
      <c r="E45" s="4">
        <v>20.69</v>
      </c>
      <c r="F45" s="4">
        <v>22.74</v>
      </c>
      <c r="G45" s="4">
        <v>23.1</v>
      </c>
      <c r="H45" s="4">
        <v>26.92</v>
      </c>
      <c r="I45" s="4">
        <v>24.33</v>
      </c>
      <c r="J45" s="4">
        <v>24.29</v>
      </c>
      <c r="K45" s="4">
        <v>24.86</v>
      </c>
    </row>
    <row r="46" spans="1:11">
      <c r="A46" s="3" t="s">
        <v>1</v>
      </c>
      <c r="B46" s="4">
        <v>4.84</v>
      </c>
      <c r="C46" s="4">
        <v>2.92</v>
      </c>
      <c r="D46" s="4">
        <v>2.63</v>
      </c>
      <c r="E46" s="4">
        <v>2.67</v>
      </c>
      <c r="F46" s="4">
        <v>3.44</v>
      </c>
      <c r="G46" s="4">
        <v>6.07</v>
      </c>
      <c r="H46" s="4">
        <v>5.82</v>
      </c>
      <c r="I46" s="4">
        <v>5.94</v>
      </c>
      <c r="J46" s="4">
        <v>6.31</v>
      </c>
      <c r="K46" s="4">
        <v>7</v>
      </c>
    </row>
    <row r="47" spans="1:11">
      <c r="A47" s="3" t="s">
        <v>30</v>
      </c>
      <c r="B47" s="4">
        <v>100.27</v>
      </c>
      <c r="C47" s="4">
        <v>120.02</v>
      </c>
      <c r="D47" s="4">
        <v>124.6</v>
      </c>
      <c r="E47" s="4">
        <v>143.26</v>
      </c>
      <c r="F47" s="4">
        <v>116.1</v>
      </c>
      <c r="G47" s="4">
        <v>76.599999999999994</v>
      </c>
      <c r="H47" s="4">
        <v>133.33000000000001</v>
      </c>
      <c r="I47" s="4">
        <v>150.62</v>
      </c>
      <c r="J47" s="4">
        <v>200</v>
      </c>
      <c r="K47" s="4">
        <v>206.58</v>
      </c>
    </row>
    <row r="48" spans="1:11">
      <c r="A48" s="3" t="s">
        <v>29</v>
      </c>
      <c r="B48" s="4">
        <v>22.63</v>
      </c>
      <c r="C48" s="4">
        <v>30.95</v>
      </c>
      <c r="D48" s="4">
        <v>26.84</v>
      </c>
      <c r="E48" s="4">
        <v>38.19</v>
      </c>
      <c r="F48" s="4">
        <v>25.37</v>
      </c>
      <c r="G48" s="4">
        <v>18.399999999999999</v>
      </c>
      <c r="H48" s="4">
        <v>34.200000000000003</v>
      </c>
      <c r="I48" s="4">
        <v>36.94</v>
      </c>
      <c r="J48" s="4">
        <v>50.97</v>
      </c>
      <c r="K48" s="4">
        <v>47.16</v>
      </c>
    </row>
    <row r="49" spans="1:11">
      <c r="A49" s="3" t="s">
        <v>28</v>
      </c>
      <c r="B49" s="4">
        <v>78.290000000000006</v>
      </c>
      <c r="C49" s="4">
        <v>88.75</v>
      </c>
      <c r="D49" s="4">
        <v>96.72</v>
      </c>
      <c r="E49" s="4">
        <v>104.56</v>
      </c>
      <c r="F49" s="4">
        <v>90.55</v>
      </c>
      <c r="G49" s="4">
        <v>58.32</v>
      </c>
      <c r="H49" s="4">
        <v>98.25</v>
      </c>
      <c r="I49" s="4">
        <v>113.2</v>
      </c>
      <c r="J49" s="4">
        <v>148.13</v>
      </c>
      <c r="K49" s="4">
        <v>157.16999999999999</v>
      </c>
    </row>
    <row r="50" spans="1:11">
      <c r="A50" s="3" t="s">
        <v>27</v>
      </c>
      <c r="B50" s="4">
        <v>109.64</v>
      </c>
      <c r="C50" s="4">
        <v>128.43</v>
      </c>
      <c r="D50" s="4">
        <v>146.81</v>
      </c>
      <c r="E50" s="4">
        <v>138.77000000000001</v>
      </c>
      <c r="F50" s="4">
        <v>126.94</v>
      </c>
      <c r="G50" s="4">
        <v>100.13</v>
      </c>
      <c r="H50" s="4">
        <v>144.5</v>
      </c>
      <c r="I50" s="4">
        <v>160.75</v>
      </c>
      <c r="J50" s="4">
        <v>195.43</v>
      </c>
      <c r="K50" s="4">
        <v>213.04</v>
      </c>
    </row>
    <row r="55" spans="1:11">
      <c r="A55" s="2" t="s">
        <v>26</v>
      </c>
    </row>
    <row r="56" spans="1:11" s="7" customFormat="1">
      <c r="A56" s="5" t="s">
        <v>9</v>
      </c>
      <c r="B56" s="6">
        <v>42825</v>
      </c>
      <c r="C56" s="6">
        <v>43190</v>
      </c>
      <c r="D56" s="6">
        <v>43555</v>
      </c>
      <c r="E56" s="6">
        <v>43921</v>
      </c>
      <c r="F56" s="6">
        <v>44286</v>
      </c>
      <c r="G56" s="6">
        <v>44651</v>
      </c>
      <c r="H56" s="6">
        <v>45016</v>
      </c>
      <c r="I56" s="6">
        <v>45382</v>
      </c>
      <c r="J56" s="6">
        <v>45747</v>
      </c>
      <c r="K56" s="6">
        <v>46112</v>
      </c>
    </row>
    <row r="57" spans="1:11">
      <c r="A57" s="3" t="s">
        <v>25</v>
      </c>
      <c r="B57" s="4">
        <v>40.93</v>
      </c>
      <c r="C57" s="4">
        <v>40.93</v>
      </c>
      <c r="D57" s="4">
        <v>40.93</v>
      </c>
      <c r="E57" s="4">
        <v>40.93</v>
      </c>
      <c r="F57" s="4">
        <v>40.93</v>
      </c>
      <c r="G57" s="4">
        <v>40.93</v>
      </c>
      <c r="H57" s="4">
        <v>45.32</v>
      </c>
      <c r="I57" s="4">
        <v>45.32</v>
      </c>
      <c r="J57" s="4">
        <v>45.32</v>
      </c>
      <c r="K57" s="4">
        <v>45.32</v>
      </c>
    </row>
    <row r="58" spans="1:11">
      <c r="A58" s="3" t="s">
        <v>24</v>
      </c>
      <c r="B58" s="4">
        <v>392.5</v>
      </c>
      <c r="C58" s="4">
        <v>429.93</v>
      </c>
      <c r="D58" s="4">
        <v>501.55</v>
      </c>
      <c r="E58" s="4">
        <v>595.08000000000004</v>
      </c>
      <c r="F58" s="4">
        <v>845.56</v>
      </c>
      <c r="G58" s="4">
        <v>1161.3399999999999</v>
      </c>
      <c r="H58" s="4">
        <v>1699.85</v>
      </c>
      <c r="I58" s="4">
        <v>2019.74</v>
      </c>
      <c r="J58" s="4">
        <v>2421.6</v>
      </c>
      <c r="K58" s="4">
        <v>2977.84</v>
      </c>
    </row>
    <row r="59" spans="1:11">
      <c r="A59" s="3" t="s">
        <v>23</v>
      </c>
      <c r="B59" s="4">
        <v>109.71</v>
      </c>
      <c r="C59" s="4">
        <v>117.96</v>
      </c>
      <c r="D59" s="4">
        <v>100.22</v>
      </c>
      <c r="E59" s="4">
        <v>29.65</v>
      </c>
      <c r="F59" s="4">
        <v>34.1</v>
      </c>
      <c r="G59" s="4">
        <v>110.78</v>
      </c>
      <c r="H59" s="4">
        <v>122.95</v>
      </c>
      <c r="I59" s="4">
        <v>244.06</v>
      </c>
      <c r="J59" s="4">
        <v>321.91000000000003</v>
      </c>
      <c r="K59" s="4">
        <v>343.38</v>
      </c>
    </row>
    <row r="60" spans="1:11">
      <c r="A60" s="3" t="s">
        <v>22</v>
      </c>
      <c r="B60" s="4">
        <v>208.67</v>
      </c>
      <c r="C60" s="4">
        <v>141.91999999999999</v>
      </c>
      <c r="D60" s="4">
        <v>159.76</v>
      </c>
      <c r="E60" s="4">
        <v>236.37</v>
      </c>
      <c r="F60" s="4">
        <v>307.43</v>
      </c>
      <c r="G60" s="4">
        <v>323.2</v>
      </c>
      <c r="H60" s="4">
        <v>322.27</v>
      </c>
      <c r="I60" s="4">
        <v>371.84</v>
      </c>
      <c r="J60" s="4">
        <v>450.81</v>
      </c>
      <c r="K60" s="4">
        <v>489.27</v>
      </c>
    </row>
    <row r="61" spans="1:11" s="2" customFormat="1">
      <c r="A61" s="2" t="s">
        <v>17</v>
      </c>
      <c r="B61" s="4">
        <v>751.81</v>
      </c>
      <c r="C61" s="4">
        <v>730.74</v>
      </c>
      <c r="D61" s="4">
        <v>802.46</v>
      </c>
      <c r="E61" s="4">
        <v>902.03</v>
      </c>
      <c r="F61" s="4">
        <v>1228.02</v>
      </c>
      <c r="G61" s="4">
        <v>1636.25</v>
      </c>
      <c r="H61" s="4">
        <v>2190.39</v>
      </c>
      <c r="I61" s="4">
        <v>2680.96</v>
      </c>
      <c r="J61" s="4">
        <v>3239.64</v>
      </c>
      <c r="K61" s="4">
        <v>3855.81</v>
      </c>
    </row>
    <row r="62" spans="1:11">
      <c r="A62" s="3" t="s">
        <v>21</v>
      </c>
      <c r="B62" s="4">
        <v>266.98</v>
      </c>
      <c r="C62" s="4">
        <v>279.38</v>
      </c>
      <c r="D62" s="4">
        <v>269.73</v>
      </c>
      <c r="E62" s="4">
        <v>302.72000000000003</v>
      </c>
      <c r="F62" s="4">
        <v>309.36</v>
      </c>
      <c r="G62" s="4">
        <v>428.31</v>
      </c>
      <c r="H62" s="4">
        <v>486.31</v>
      </c>
      <c r="I62" s="4">
        <v>775.94</v>
      </c>
      <c r="J62" s="4">
        <v>981.96</v>
      </c>
      <c r="K62" s="4">
        <v>1044.1099999999999</v>
      </c>
    </row>
    <row r="63" spans="1:11">
      <c r="A63" s="3" t="s">
        <v>20</v>
      </c>
      <c r="B63" s="4">
        <v>0.36</v>
      </c>
      <c r="F63" s="4">
        <v>11.68</v>
      </c>
      <c r="G63" s="4">
        <v>2.57</v>
      </c>
      <c r="H63" s="4">
        <v>9.8699999999999992</v>
      </c>
      <c r="I63" s="4">
        <v>9.42</v>
      </c>
      <c r="J63" s="4">
        <v>27.11</v>
      </c>
      <c r="K63" s="4">
        <v>58.58</v>
      </c>
    </row>
    <row r="64" spans="1:11">
      <c r="A64" s="3" t="s">
        <v>19</v>
      </c>
      <c r="F64" s="4">
        <v>0.26</v>
      </c>
      <c r="G64" s="4">
        <v>0.44</v>
      </c>
      <c r="H64" s="4">
        <v>0.54</v>
      </c>
      <c r="I64" s="4">
        <v>26.99</v>
      </c>
      <c r="J64" s="4">
        <v>0.74</v>
      </c>
    </row>
    <row r="65" spans="1:11">
      <c r="A65" s="3" t="s">
        <v>18</v>
      </c>
      <c r="B65" s="4">
        <v>484.47</v>
      </c>
      <c r="C65" s="4">
        <v>451.36</v>
      </c>
      <c r="D65" s="4">
        <v>532.73</v>
      </c>
      <c r="E65" s="4">
        <v>599.30999999999995</v>
      </c>
      <c r="F65" s="4">
        <v>906.72</v>
      </c>
      <c r="G65" s="4">
        <v>1204.93</v>
      </c>
      <c r="H65" s="4">
        <v>1693.67</v>
      </c>
      <c r="I65" s="4">
        <v>1868.61</v>
      </c>
      <c r="J65" s="4">
        <v>2229.83</v>
      </c>
      <c r="K65" s="4">
        <v>2753.12</v>
      </c>
    </row>
    <row r="66" spans="1:11" s="2" customFormat="1">
      <c r="A66" s="2" t="s">
        <v>17</v>
      </c>
      <c r="B66" s="4">
        <v>751.81</v>
      </c>
      <c r="C66" s="4">
        <v>730.74</v>
      </c>
      <c r="D66" s="4">
        <v>802.46</v>
      </c>
      <c r="E66" s="4">
        <v>902.03</v>
      </c>
      <c r="F66" s="4">
        <v>1228.02</v>
      </c>
      <c r="G66" s="4">
        <v>1636.25</v>
      </c>
      <c r="H66" s="4">
        <v>2190.39</v>
      </c>
      <c r="I66" s="4">
        <v>2680.96</v>
      </c>
      <c r="J66" s="4">
        <v>3239.64</v>
      </c>
      <c r="K66" s="4">
        <v>3855.81</v>
      </c>
    </row>
    <row r="67" spans="1:11">
      <c r="A67" s="3" t="s">
        <v>16</v>
      </c>
      <c r="B67" s="4">
        <v>247.58</v>
      </c>
      <c r="C67" s="4">
        <v>176.91</v>
      </c>
      <c r="D67" s="4">
        <v>176.6</v>
      </c>
      <c r="E67" s="4">
        <v>243.35</v>
      </c>
      <c r="F67" s="4">
        <v>271.95</v>
      </c>
      <c r="G67" s="4">
        <v>394.78</v>
      </c>
      <c r="H67" s="4">
        <v>416.85</v>
      </c>
      <c r="I67" s="4">
        <v>453.18</v>
      </c>
      <c r="J67" s="4">
        <v>540.04</v>
      </c>
      <c r="K67" s="4">
        <v>644.57000000000005</v>
      </c>
    </row>
    <row r="68" spans="1:11">
      <c r="A68" s="3" t="s">
        <v>15</v>
      </c>
      <c r="B68" s="4">
        <v>190.09</v>
      </c>
      <c r="C68" s="4">
        <v>218.12</v>
      </c>
      <c r="D68" s="4">
        <v>293.25</v>
      </c>
      <c r="E68" s="4">
        <v>241.84</v>
      </c>
      <c r="F68" s="4">
        <v>404.32</v>
      </c>
      <c r="G68" s="4">
        <v>424.44</v>
      </c>
      <c r="H68" s="4">
        <v>484.74</v>
      </c>
      <c r="I68" s="4">
        <v>617.94000000000005</v>
      </c>
      <c r="J68" s="4">
        <v>845.52</v>
      </c>
      <c r="K68" s="4">
        <v>972.28</v>
      </c>
    </row>
    <row r="69" spans="1:11">
      <c r="A69" s="3" t="s">
        <v>14</v>
      </c>
      <c r="B69" s="4">
        <v>25.16</v>
      </c>
      <c r="C69" s="4">
        <v>39.880000000000003</v>
      </c>
      <c r="D69" s="4">
        <v>33.54</v>
      </c>
      <c r="E69" s="4">
        <v>93.73</v>
      </c>
      <c r="F69" s="4">
        <v>212.18</v>
      </c>
      <c r="G69" s="4">
        <v>349.27</v>
      </c>
      <c r="H69" s="4">
        <v>714.96</v>
      </c>
      <c r="I69" s="4">
        <v>673.58</v>
      </c>
      <c r="J69" s="4">
        <v>704.21</v>
      </c>
      <c r="K69" s="4">
        <v>989.65</v>
      </c>
    </row>
    <row r="70" spans="1:11">
      <c r="A70" s="3" t="s">
        <v>13</v>
      </c>
      <c r="B70" s="4">
        <v>409313698</v>
      </c>
      <c r="C70" s="4">
        <v>409313698</v>
      </c>
      <c r="D70" s="4">
        <v>409313698</v>
      </c>
      <c r="E70" s="4">
        <v>409313698</v>
      </c>
      <c r="F70" s="4">
        <v>409313698</v>
      </c>
      <c r="G70" s="4">
        <v>409313698</v>
      </c>
      <c r="H70" s="4">
        <v>453163746</v>
      </c>
      <c r="I70" s="4">
        <v>453163746</v>
      </c>
      <c r="J70" s="4">
        <v>453163746</v>
      </c>
      <c r="K70" s="4">
        <v>453163746</v>
      </c>
    </row>
    <row r="71" spans="1:11">
      <c r="A71" s="3" t="s">
        <v>12</v>
      </c>
    </row>
    <row r="72" spans="1:11">
      <c r="A72" s="3" t="s">
        <v>11</v>
      </c>
      <c r="B72" s="4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</row>
    <row r="74" spans="1:11">
      <c r="A74" s="3" t="s">
        <v>18</v>
      </c>
      <c r="B74" s="3">
        <f>B65-SUM(B67:B69)</f>
        <v>21.639999999999986</v>
      </c>
      <c r="C74" s="3">
        <f t="shared" ref="C74:K74" si="0">C65-SUM(C67:C69)</f>
        <v>16.450000000000045</v>
      </c>
      <c r="D74" s="3">
        <f t="shared" si="0"/>
        <v>29.339999999999975</v>
      </c>
      <c r="E74" s="3">
        <f t="shared" si="0"/>
        <v>20.389999999999986</v>
      </c>
      <c r="F74" s="3">
        <f t="shared" si="0"/>
        <v>18.269999999999982</v>
      </c>
      <c r="G74" s="3">
        <f t="shared" si="0"/>
        <v>36.440000000000055</v>
      </c>
      <c r="H74" s="3">
        <f t="shared" si="0"/>
        <v>77.119999999999891</v>
      </c>
      <c r="I74" s="3">
        <f t="shared" si="0"/>
        <v>123.90999999999963</v>
      </c>
      <c r="J74" s="3">
        <f t="shared" si="0"/>
        <v>140.05999999999995</v>
      </c>
      <c r="K74" s="3">
        <f t="shared" si="0"/>
        <v>146.61999999999989</v>
      </c>
    </row>
    <row r="75" spans="1:11">
      <c r="A75" s="3" t="s">
        <v>81</v>
      </c>
      <c r="B75" s="3">
        <f>B61</f>
        <v>751.81</v>
      </c>
      <c r="C75" s="3">
        <f t="shared" ref="C75:K75" si="1">C61</f>
        <v>730.74</v>
      </c>
      <c r="D75" s="3">
        <f t="shared" si="1"/>
        <v>802.46</v>
      </c>
      <c r="E75" s="3">
        <f t="shared" si="1"/>
        <v>902.03</v>
      </c>
      <c r="F75" s="3">
        <f t="shared" si="1"/>
        <v>1228.02</v>
      </c>
      <c r="G75" s="3">
        <f t="shared" si="1"/>
        <v>1636.25</v>
      </c>
      <c r="H75" s="3">
        <f t="shared" si="1"/>
        <v>2190.39</v>
      </c>
      <c r="I75" s="3">
        <f t="shared" si="1"/>
        <v>2680.96</v>
      </c>
      <c r="J75" s="3">
        <f t="shared" si="1"/>
        <v>3239.64</v>
      </c>
      <c r="K75" s="3">
        <f t="shared" si="1"/>
        <v>3855.81</v>
      </c>
    </row>
    <row r="80" spans="1:11">
      <c r="A80" s="2" t="s">
        <v>10</v>
      </c>
    </row>
    <row r="81" spans="1:11" s="7" customFormat="1">
      <c r="A81" s="5" t="s">
        <v>9</v>
      </c>
      <c r="B81" s="6">
        <v>42825</v>
      </c>
      <c r="C81" s="6">
        <v>43190</v>
      </c>
      <c r="D81" s="6">
        <v>43555</v>
      </c>
      <c r="E81" s="6">
        <v>43921</v>
      </c>
      <c r="F81" s="6">
        <v>44286</v>
      </c>
      <c r="G81" s="6">
        <v>44651</v>
      </c>
      <c r="H81" s="6">
        <v>45016</v>
      </c>
      <c r="I81" s="6">
        <v>45382</v>
      </c>
      <c r="J81" s="6">
        <v>45747</v>
      </c>
      <c r="K81" s="6">
        <v>46112</v>
      </c>
    </row>
    <row r="82" spans="1:11" s="2" customFormat="1">
      <c r="A82" s="3" t="s">
        <v>8</v>
      </c>
      <c r="B82" s="4">
        <v>14.06</v>
      </c>
      <c r="C82" s="4">
        <v>50.09</v>
      </c>
      <c r="D82" s="4">
        <v>27.4</v>
      </c>
      <c r="E82" s="4">
        <v>233.33</v>
      </c>
      <c r="F82" s="4">
        <v>178.59</v>
      </c>
      <c r="G82" s="4">
        <v>99.26</v>
      </c>
      <c r="H82" s="4">
        <v>237.41</v>
      </c>
      <c r="I82" s="4">
        <v>230.41</v>
      </c>
      <c r="J82" s="4">
        <v>206.66</v>
      </c>
      <c r="K82" s="4">
        <v>458.13</v>
      </c>
    </row>
    <row r="83" spans="1:11">
      <c r="A83" s="3" t="s">
        <v>7</v>
      </c>
      <c r="B83" s="4">
        <v>-20.73</v>
      </c>
      <c r="C83" s="4">
        <v>-38.81</v>
      </c>
      <c r="D83" s="4">
        <v>-13.48</v>
      </c>
      <c r="E83" s="4">
        <v>-59.58</v>
      </c>
      <c r="F83" s="4">
        <v>-44.85</v>
      </c>
      <c r="G83" s="4">
        <v>-84.39</v>
      </c>
      <c r="H83" s="4">
        <v>-259.20999999999998</v>
      </c>
      <c r="I83" s="4">
        <v>-140.84</v>
      </c>
      <c r="J83" s="4">
        <v>-49.01</v>
      </c>
      <c r="K83" s="4">
        <v>-248.85</v>
      </c>
    </row>
    <row r="84" spans="1:11">
      <c r="A84" s="3" t="s">
        <v>6</v>
      </c>
      <c r="B84" s="4">
        <v>-3.47</v>
      </c>
      <c r="C84" s="4">
        <v>3.38</v>
      </c>
      <c r="D84" s="4">
        <v>-20.78</v>
      </c>
      <c r="E84" s="4">
        <v>-113.55</v>
      </c>
      <c r="F84" s="4">
        <v>-15.29</v>
      </c>
      <c r="G84" s="4">
        <v>79.510000000000005</v>
      </c>
      <c r="H84" s="4">
        <v>197.83</v>
      </c>
      <c r="I84" s="4">
        <v>-68.73</v>
      </c>
      <c r="J84" s="4">
        <v>-65.150000000000006</v>
      </c>
      <c r="K84" s="4">
        <v>-70.930000000000007</v>
      </c>
    </row>
    <row r="85" spans="1:11" s="2" customFormat="1">
      <c r="A85" s="3" t="s">
        <v>5</v>
      </c>
      <c r="B85" s="4">
        <v>-10.14</v>
      </c>
      <c r="C85" s="4">
        <v>14.67</v>
      </c>
      <c r="D85" s="4">
        <v>-6.86</v>
      </c>
      <c r="E85" s="4">
        <v>60.19</v>
      </c>
      <c r="F85" s="4">
        <v>118.46</v>
      </c>
      <c r="G85" s="4">
        <v>94.38</v>
      </c>
      <c r="H85" s="4">
        <v>176.03</v>
      </c>
      <c r="I85" s="4">
        <v>20.84</v>
      </c>
      <c r="J85" s="4">
        <v>92.51</v>
      </c>
      <c r="K85" s="4">
        <v>138.35</v>
      </c>
    </row>
    <row r="90" spans="1:11" s="2" customFormat="1">
      <c r="A90" s="2" t="s">
        <v>4</v>
      </c>
      <c r="B90" s="4">
        <v>47.15</v>
      </c>
      <c r="C90" s="4">
        <v>31.65</v>
      </c>
      <c r="D90" s="4">
        <v>24.95</v>
      </c>
      <c r="E90" s="4">
        <v>13.9</v>
      </c>
      <c r="F90" s="4">
        <v>49.95</v>
      </c>
      <c r="G90" s="4">
        <v>45.5</v>
      </c>
      <c r="H90" s="4">
        <v>70.400000000000006</v>
      </c>
      <c r="I90" s="4">
        <v>151.9</v>
      </c>
      <c r="J90" s="4">
        <v>222.47</v>
      </c>
      <c r="K90" s="4">
        <v>156.88999999999999</v>
      </c>
    </row>
    <row r="92" spans="1:11" s="2" customFormat="1">
      <c r="A92" s="2" t="s">
        <v>3</v>
      </c>
    </row>
    <row r="93" spans="1:11">
      <c r="A93" s="3" t="s">
        <v>2</v>
      </c>
      <c r="B93" s="8">
        <v>40.93</v>
      </c>
      <c r="C93" s="8">
        <v>40.93</v>
      </c>
      <c r="D93" s="8">
        <v>40.93</v>
      </c>
      <c r="E93" s="8">
        <v>40.93</v>
      </c>
      <c r="F93" s="8">
        <v>40.93</v>
      </c>
      <c r="G93" s="8">
        <v>40.93</v>
      </c>
      <c r="H93" s="8">
        <v>45.32</v>
      </c>
      <c r="I93" s="8">
        <v>45.32</v>
      </c>
      <c r="J93" s="8">
        <v>45.32</v>
      </c>
      <c r="K93" s="8">
        <v>45.32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EDD8846-F3EB-48F4-AE3F-60D07E33CE1A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04F8-3007-4E9F-8F68-D8E65D8869BC}">
  <dimension ref="B2:N41"/>
  <sheetViews>
    <sheetView showGridLines="0" topLeftCell="A4" workbookViewId="0">
      <selection activeCell="O25" sqref="O25"/>
    </sheetView>
  </sheetViews>
  <sheetFormatPr defaultRowHeight="13.8"/>
  <cols>
    <col min="1" max="1" width="2.125" customWidth="1"/>
    <col min="2" max="2" width="24.25" bestFit="1" customWidth="1"/>
    <col min="3" max="14" width="11.25" customWidth="1"/>
  </cols>
  <sheetData>
    <row r="2" spans="2:14">
      <c r="B2" s="147" t="s">
        <v>243</v>
      </c>
      <c r="C2" s="148">
        <v>42064</v>
      </c>
      <c r="D2" s="148">
        <v>42430</v>
      </c>
      <c r="E2" s="148">
        <v>42795</v>
      </c>
      <c r="F2" s="148">
        <v>43160</v>
      </c>
      <c r="G2" s="148">
        <v>43525</v>
      </c>
      <c r="H2" s="148">
        <v>43891</v>
      </c>
      <c r="I2" s="148">
        <v>44256</v>
      </c>
      <c r="J2" s="148">
        <v>44621</v>
      </c>
      <c r="K2" s="148">
        <v>44986</v>
      </c>
      <c r="L2" s="148">
        <v>45352</v>
      </c>
      <c r="M2" s="148">
        <v>45717</v>
      </c>
      <c r="N2" s="148">
        <v>46082</v>
      </c>
    </row>
    <row r="3" spans="2:14" s="125" customFormat="1"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</row>
    <row r="4" spans="2:14">
      <c r="B4" s="155" t="s">
        <v>184</v>
      </c>
      <c r="C4" s="158">
        <v>41</v>
      </c>
      <c r="D4" s="158">
        <v>41</v>
      </c>
      <c r="E4" s="158">
        <v>41</v>
      </c>
      <c r="F4" s="158">
        <v>41</v>
      </c>
      <c r="G4" s="158">
        <v>41</v>
      </c>
      <c r="H4" s="158">
        <v>41</v>
      </c>
      <c r="I4" s="158">
        <v>41</v>
      </c>
      <c r="J4" s="158">
        <v>41</v>
      </c>
      <c r="K4" s="158">
        <v>45</v>
      </c>
      <c r="L4" s="158">
        <v>45</v>
      </c>
      <c r="M4" s="158">
        <v>45</v>
      </c>
      <c r="N4" s="158">
        <v>45</v>
      </c>
    </row>
    <row r="5" spans="2:14">
      <c r="B5" s="155" t="s">
        <v>24</v>
      </c>
      <c r="C5" s="158">
        <v>326</v>
      </c>
      <c r="D5" s="158">
        <v>401</v>
      </c>
      <c r="E5" s="158">
        <v>392</v>
      </c>
      <c r="F5" s="158">
        <v>430</v>
      </c>
      <c r="G5" s="158">
        <v>502</v>
      </c>
      <c r="H5" s="158">
        <v>595</v>
      </c>
      <c r="I5" s="158">
        <v>846</v>
      </c>
      <c r="J5" s="158">
        <v>1161</v>
      </c>
      <c r="K5" s="158">
        <v>1700</v>
      </c>
      <c r="L5" s="158">
        <v>2020</v>
      </c>
      <c r="M5" s="158">
        <v>2422</v>
      </c>
      <c r="N5" s="158">
        <v>2978</v>
      </c>
    </row>
    <row r="6" spans="2:14">
      <c r="B6" s="155" t="s">
        <v>271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</row>
    <row r="7" spans="2:14">
      <c r="B7" s="156" t="s">
        <v>246</v>
      </c>
      <c r="C7" s="158">
        <v>82</v>
      </c>
      <c r="D7" s="158">
        <v>88</v>
      </c>
      <c r="E7" s="158">
        <v>110</v>
      </c>
      <c r="F7" s="158">
        <v>117</v>
      </c>
      <c r="G7" s="158">
        <v>100</v>
      </c>
      <c r="H7" s="158">
        <v>19</v>
      </c>
      <c r="I7" s="158">
        <v>19</v>
      </c>
      <c r="J7" s="158">
        <v>41</v>
      </c>
      <c r="K7" s="158">
        <v>42</v>
      </c>
      <c r="L7" s="158">
        <v>29</v>
      </c>
      <c r="M7" s="158">
        <v>23</v>
      </c>
      <c r="N7" s="158">
        <v>30</v>
      </c>
    </row>
    <row r="8" spans="2:14">
      <c r="B8" s="156" t="s">
        <v>247</v>
      </c>
      <c r="C8" s="158">
        <v>0</v>
      </c>
      <c r="D8" s="158">
        <v>0</v>
      </c>
      <c r="E8" s="158">
        <v>0</v>
      </c>
      <c r="F8" s="158">
        <v>0</v>
      </c>
      <c r="G8" s="158">
        <v>0</v>
      </c>
      <c r="H8" s="158">
        <v>11</v>
      </c>
      <c r="I8" s="158">
        <v>15</v>
      </c>
      <c r="J8" s="158">
        <v>69</v>
      </c>
      <c r="K8" s="158">
        <v>81</v>
      </c>
      <c r="L8" s="158">
        <v>215</v>
      </c>
      <c r="M8" s="158">
        <v>299</v>
      </c>
      <c r="N8" s="158">
        <v>314</v>
      </c>
    </row>
    <row r="9" spans="2:14">
      <c r="B9" s="156" t="s">
        <v>248</v>
      </c>
      <c r="C9" s="158">
        <v>12</v>
      </c>
      <c r="D9" s="158">
        <v>12</v>
      </c>
      <c r="E9" s="158">
        <v>0</v>
      </c>
      <c r="F9" s="158">
        <v>0</v>
      </c>
      <c r="G9" s="158">
        <v>0</v>
      </c>
      <c r="H9" s="158">
        <v>0</v>
      </c>
      <c r="I9" s="158">
        <v>0</v>
      </c>
      <c r="J9" s="158">
        <v>0</v>
      </c>
      <c r="K9" s="158">
        <v>0</v>
      </c>
      <c r="L9" s="158">
        <v>0</v>
      </c>
      <c r="M9" s="158">
        <v>0</v>
      </c>
      <c r="N9" s="158">
        <v>0</v>
      </c>
    </row>
    <row r="10" spans="2:14">
      <c r="B10" s="156" t="s">
        <v>249</v>
      </c>
      <c r="C10" s="158">
        <v>6</v>
      </c>
      <c r="D10" s="158">
        <v>0</v>
      </c>
      <c r="E10" s="158">
        <v>0</v>
      </c>
      <c r="F10" s="158">
        <v>1</v>
      </c>
      <c r="G10" s="158">
        <v>0</v>
      </c>
      <c r="H10" s="158">
        <v>0</v>
      </c>
      <c r="I10" s="158">
        <v>0</v>
      </c>
      <c r="J10" s="158">
        <v>0</v>
      </c>
      <c r="K10" s="158">
        <v>0</v>
      </c>
      <c r="L10" s="158">
        <v>0</v>
      </c>
      <c r="M10" s="158">
        <v>0</v>
      </c>
      <c r="N10" s="158">
        <v>0</v>
      </c>
    </row>
    <row r="11" spans="2:14">
      <c r="B11" s="155" t="s">
        <v>272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</row>
    <row r="12" spans="2:14">
      <c r="B12" s="156" t="s">
        <v>250</v>
      </c>
      <c r="C12" s="158">
        <v>8</v>
      </c>
      <c r="D12" s="158">
        <v>8</v>
      </c>
      <c r="E12" s="158">
        <v>6</v>
      </c>
      <c r="F12" s="158">
        <v>10</v>
      </c>
      <c r="G12" s="158">
        <v>10</v>
      </c>
      <c r="H12" s="158">
        <v>13</v>
      </c>
      <c r="I12" s="158">
        <v>19</v>
      </c>
      <c r="J12" s="158">
        <v>21</v>
      </c>
      <c r="K12" s="158">
        <v>20</v>
      </c>
      <c r="L12" s="158">
        <v>21</v>
      </c>
      <c r="M12" s="158">
        <v>22</v>
      </c>
      <c r="N12" s="158">
        <v>30</v>
      </c>
    </row>
    <row r="13" spans="2:14">
      <c r="B13" s="156" t="s">
        <v>251</v>
      </c>
      <c r="C13" s="158">
        <v>107</v>
      </c>
      <c r="D13" s="158">
        <v>119</v>
      </c>
      <c r="E13" s="158">
        <v>162</v>
      </c>
      <c r="F13" s="158">
        <v>78</v>
      </c>
      <c r="G13" s="158">
        <v>106</v>
      </c>
      <c r="H13" s="158">
        <v>110</v>
      </c>
      <c r="I13" s="158">
        <v>169</v>
      </c>
      <c r="J13" s="158">
        <v>200</v>
      </c>
      <c r="K13" s="158">
        <v>231</v>
      </c>
      <c r="L13" s="158">
        <v>268</v>
      </c>
      <c r="M13" s="158">
        <v>306</v>
      </c>
      <c r="N13" s="158">
        <v>337</v>
      </c>
    </row>
    <row r="14" spans="2:14">
      <c r="B14" s="156" t="s">
        <v>252</v>
      </c>
      <c r="C14" s="158">
        <v>0</v>
      </c>
      <c r="D14" s="158">
        <v>0</v>
      </c>
      <c r="E14" s="158">
        <v>0</v>
      </c>
      <c r="F14" s="158">
        <v>0</v>
      </c>
      <c r="G14" s="158">
        <v>0</v>
      </c>
      <c r="H14" s="158">
        <v>0</v>
      </c>
      <c r="I14" s="158">
        <v>1</v>
      </c>
      <c r="J14" s="158">
        <v>2</v>
      </c>
      <c r="K14" s="158">
        <v>1</v>
      </c>
      <c r="L14" s="158">
        <v>2</v>
      </c>
      <c r="M14" s="158">
        <v>1</v>
      </c>
      <c r="N14" s="158">
        <v>2</v>
      </c>
    </row>
    <row r="15" spans="2:14" ht="14.4" thickBot="1">
      <c r="B15" s="159" t="s">
        <v>253</v>
      </c>
      <c r="C15" s="160">
        <v>92</v>
      </c>
      <c r="D15" s="160">
        <v>53</v>
      </c>
      <c r="E15" s="160">
        <v>41</v>
      </c>
      <c r="F15" s="160">
        <v>55</v>
      </c>
      <c r="G15" s="160">
        <v>43</v>
      </c>
      <c r="H15" s="160">
        <v>113</v>
      </c>
      <c r="I15" s="160">
        <v>119</v>
      </c>
      <c r="J15" s="160">
        <v>101</v>
      </c>
      <c r="K15" s="160">
        <v>71</v>
      </c>
      <c r="L15" s="160">
        <v>81</v>
      </c>
      <c r="M15" s="160">
        <v>121</v>
      </c>
      <c r="N15" s="160">
        <v>121</v>
      </c>
    </row>
    <row r="16" spans="2:14" ht="14.4" thickBot="1">
      <c r="B16" s="153" t="s">
        <v>80</v>
      </c>
      <c r="C16" s="153">
        <v>676</v>
      </c>
      <c r="D16" s="153">
        <v>722</v>
      </c>
      <c r="E16" s="153">
        <v>752</v>
      </c>
      <c r="F16" s="153">
        <v>731</v>
      </c>
      <c r="G16" s="153">
        <v>802</v>
      </c>
      <c r="H16" s="153">
        <v>902</v>
      </c>
      <c r="I16" s="154">
        <v>1228</v>
      </c>
      <c r="J16" s="154">
        <v>1636</v>
      </c>
      <c r="K16" s="154">
        <v>2190</v>
      </c>
      <c r="L16" s="154">
        <v>2681</v>
      </c>
      <c r="M16" s="154">
        <v>3240</v>
      </c>
      <c r="N16" s="154">
        <v>3856</v>
      </c>
    </row>
    <row r="17" spans="2:14">
      <c r="B17" s="149"/>
      <c r="I17" s="146"/>
      <c r="J17" s="146"/>
      <c r="K17" s="146"/>
      <c r="L17" s="146"/>
      <c r="M17" s="146"/>
      <c r="N17" s="146"/>
    </row>
    <row r="18" spans="2:14">
      <c r="B18" s="155" t="s">
        <v>273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7"/>
    </row>
    <row r="19" spans="2:14">
      <c r="B19" s="156" t="s">
        <v>254</v>
      </c>
      <c r="C19" s="158">
        <v>1</v>
      </c>
      <c r="D19" s="158">
        <v>1</v>
      </c>
      <c r="E19" s="158">
        <v>1</v>
      </c>
      <c r="F19" s="158">
        <v>1</v>
      </c>
      <c r="G19" s="158">
        <v>1</v>
      </c>
      <c r="H19" s="158">
        <v>0</v>
      </c>
      <c r="I19" s="158">
        <v>9</v>
      </c>
      <c r="J19" s="158">
        <v>1</v>
      </c>
      <c r="K19" s="158">
        <v>1</v>
      </c>
      <c r="L19" s="158">
        <v>23</v>
      </c>
      <c r="M19" s="158">
        <v>23</v>
      </c>
      <c r="N19" s="158">
        <v>23</v>
      </c>
    </row>
    <row r="20" spans="2:14">
      <c r="B20" s="156" t="s">
        <v>255</v>
      </c>
      <c r="C20" s="158">
        <v>51</v>
      </c>
      <c r="D20" s="158">
        <v>89</v>
      </c>
      <c r="E20" s="158">
        <v>97</v>
      </c>
      <c r="F20" s="158">
        <v>121</v>
      </c>
      <c r="G20" s="158">
        <v>123</v>
      </c>
      <c r="H20" s="158">
        <v>126</v>
      </c>
      <c r="I20" s="158">
        <v>132</v>
      </c>
      <c r="J20" s="158">
        <v>226</v>
      </c>
      <c r="K20" s="158">
        <v>270</v>
      </c>
      <c r="L20" s="158">
        <v>483</v>
      </c>
      <c r="M20" s="158">
        <v>625</v>
      </c>
      <c r="N20" s="158">
        <v>692</v>
      </c>
    </row>
    <row r="21" spans="2:14">
      <c r="B21" s="156" t="s">
        <v>256</v>
      </c>
      <c r="C21" s="158">
        <v>99</v>
      </c>
      <c r="D21" s="158">
        <v>130</v>
      </c>
      <c r="E21" s="158">
        <v>136</v>
      </c>
      <c r="F21" s="158">
        <v>145</v>
      </c>
      <c r="G21" s="158">
        <v>165</v>
      </c>
      <c r="H21" s="158">
        <v>197</v>
      </c>
      <c r="I21" s="158">
        <v>235</v>
      </c>
      <c r="J21" s="158">
        <v>287</v>
      </c>
      <c r="K21" s="158">
        <v>307</v>
      </c>
      <c r="L21" s="158">
        <v>421</v>
      </c>
      <c r="M21" s="158">
        <v>531</v>
      </c>
      <c r="N21" s="158">
        <v>604</v>
      </c>
    </row>
    <row r="22" spans="2:14">
      <c r="B22" s="156" t="s">
        <v>257</v>
      </c>
      <c r="C22" s="158">
        <v>1</v>
      </c>
      <c r="D22" s="158">
        <v>2</v>
      </c>
      <c r="E22" s="158">
        <v>2</v>
      </c>
      <c r="F22" s="158">
        <v>3</v>
      </c>
      <c r="G22" s="158">
        <v>3</v>
      </c>
      <c r="H22" s="158">
        <v>4</v>
      </c>
      <c r="I22" s="158">
        <v>4</v>
      </c>
      <c r="J22" s="158">
        <v>4</v>
      </c>
      <c r="K22" s="158">
        <v>5</v>
      </c>
      <c r="L22" s="158">
        <v>5</v>
      </c>
      <c r="M22" s="158">
        <v>5</v>
      </c>
      <c r="N22" s="158">
        <v>6</v>
      </c>
    </row>
    <row r="23" spans="2:14">
      <c r="B23" s="156" t="s">
        <v>258</v>
      </c>
      <c r="C23" s="158">
        <v>3</v>
      </c>
      <c r="D23" s="158">
        <v>5</v>
      </c>
      <c r="E23" s="158">
        <v>5</v>
      </c>
      <c r="F23" s="158">
        <v>6</v>
      </c>
      <c r="G23" s="158">
        <v>6</v>
      </c>
      <c r="H23" s="158">
        <v>6</v>
      </c>
      <c r="I23" s="158">
        <v>7</v>
      </c>
      <c r="J23" s="158">
        <v>7</v>
      </c>
      <c r="K23" s="158">
        <v>7</v>
      </c>
      <c r="L23" s="158">
        <v>12</v>
      </c>
      <c r="M23" s="158">
        <v>13</v>
      </c>
      <c r="N23" s="158">
        <v>16</v>
      </c>
    </row>
    <row r="24" spans="2:14">
      <c r="B24" s="156" t="s">
        <v>259</v>
      </c>
      <c r="C24" s="158">
        <v>3</v>
      </c>
      <c r="D24" s="158">
        <v>5</v>
      </c>
      <c r="E24" s="158">
        <v>5</v>
      </c>
      <c r="F24" s="158">
        <v>6</v>
      </c>
      <c r="G24" s="158">
        <v>7</v>
      </c>
      <c r="H24" s="158">
        <v>9</v>
      </c>
      <c r="I24" s="158">
        <v>9</v>
      </c>
      <c r="J24" s="158">
        <v>11</v>
      </c>
      <c r="K24" s="158">
        <v>16</v>
      </c>
      <c r="L24" s="158">
        <v>21</v>
      </c>
      <c r="M24" s="158">
        <v>29</v>
      </c>
      <c r="N24" s="158">
        <v>33</v>
      </c>
    </row>
    <row r="25" spans="2:14">
      <c r="B25" s="156" t="s">
        <v>260</v>
      </c>
      <c r="C25" s="158">
        <v>6</v>
      </c>
      <c r="D25" s="158">
        <v>7</v>
      </c>
      <c r="E25" s="158">
        <v>7</v>
      </c>
      <c r="F25" s="158">
        <v>8</v>
      </c>
      <c r="G25" s="158">
        <v>8</v>
      </c>
      <c r="H25" s="158">
        <v>8</v>
      </c>
      <c r="I25" s="158">
        <v>9</v>
      </c>
      <c r="J25" s="158">
        <v>10</v>
      </c>
      <c r="K25" s="158">
        <v>10</v>
      </c>
      <c r="L25" s="158">
        <v>11</v>
      </c>
      <c r="M25" s="158">
        <v>11</v>
      </c>
      <c r="N25" s="158">
        <v>16</v>
      </c>
    </row>
    <row r="26" spans="2:14">
      <c r="B26" s="156" t="s">
        <v>261</v>
      </c>
      <c r="C26" s="158">
        <v>45</v>
      </c>
      <c r="D26" s="158">
        <v>102</v>
      </c>
      <c r="E26" s="158">
        <v>102</v>
      </c>
      <c r="F26" s="158">
        <v>102</v>
      </c>
      <c r="G26" s="158">
        <v>75</v>
      </c>
      <c r="H26" s="158">
        <v>75</v>
      </c>
      <c r="I26" s="158">
        <v>20</v>
      </c>
      <c r="J26" s="158">
        <v>30</v>
      </c>
      <c r="K26" s="158">
        <v>38</v>
      </c>
      <c r="L26" s="158">
        <v>60</v>
      </c>
      <c r="M26" s="158">
        <v>61</v>
      </c>
      <c r="N26" s="158">
        <v>68</v>
      </c>
    </row>
    <row r="27" spans="2:14">
      <c r="B27" s="156" t="s">
        <v>262</v>
      </c>
      <c r="C27" s="158">
        <v>88</v>
      </c>
      <c r="D27" s="158">
        <v>88</v>
      </c>
      <c r="E27" s="158">
        <v>101</v>
      </c>
      <c r="F27" s="158">
        <v>104</v>
      </c>
      <c r="G27" s="158">
        <v>119</v>
      </c>
      <c r="H27" s="158">
        <v>138</v>
      </c>
      <c r="I27" s="158">
        <v>128</v>
      </c>
      <c r="J27" s="158">
        <v>150</v>
      </c>
      <c r="K27" s="158">
        <v>174</v>
      </c>
      <c r="L27" s="158">
        <v>158</v>
      </c>
      <c r="M27" s="158">
        <v>114</v>
      </c>
      <c r="N27" s="158">
        <v>148</v>
      </c>
    </row>
    <row r="28" spans="2:14">
      <c r="B28" s="155" t="s">
        <v>263</v>
      </c>
      <c r="C28" s="158">
        <v>298</v>
      </c>
      <c r="D28" s="158">
        <v>429</v>
      </c>
      <c r="E28" s="158">
        <v>456</v>
      </c>
      <c r="F28" s="158">
        <v>495</v>
      </c>
      <c r="G28" s="158">
        <v>506</v>
      </c>
      <c r="H28" s="158">
        <v>563</v>
      </c>
      <c r="I28" s="158">
        <v>552</v>
      </c>
      <c r="J28" s="158">
        <v>726</v>
      </c>
      <c r="K28" s="158">
        <v>828</v>
      </c>
      <c r="L28" s="158">
        <v>1193</v>
      </c>
      <c r="M28" s="158">
        <v>1413</v>
      </c>
      <c r="N28" s="158">
        <v>1605</v>
      </c>
    </row>
    <row r="29" spans="2:14">
      <c r="B29" s="155" t="s">
        <v>264</v>
      </c>
      <c r="C29" s="158">
        <v>132</v>
      </c>
      <c r="D29" s="158">
        <v>160</v>
      </c>
      <c r="E29" s="158">
        <v>190</v>
      </c>
      <c r="F29" s="158">
        <v>216</v>
      </c>
      <c r="G29" s="158">
        <v>237</v>
      </c>
      <c r="H29" s="158">
        <v>261</v>
      </c>
      <c r="I29" s="158">
        <v>243</v>
      </c>
      <c r="J29" s="158">
        <v>298</v>
      </c>
      <c r="K29" s="158">
        <v>342</v>
      </c>
      <c r="L29" s="158">
        <v>418</v>
      </c>
      <c r="M29" s="158">
        <v>431</v>
      </c>
      <c r="N29" s="158">
        <v>561</v>
      </c>
    </row>
    <row r="30" spans="2:14">
      <c r="B30" s="155" t="s">
        <v>265</v>
      </c>
      <c r="C30" s="158">
        <v>0</v>
      </c>
      <c r="D30" s="158">
        <v>0</v>
      </c>
      <c r="E30" s="158">
        <v>0</v>
      </c>
      <c r="F30" s="158">
        <v>0</v>
      </c>
      <c r="G30" s="158">
        <v>0</v>
      </c>
      <c r="H30" s="158">
        <v>0</v>
      </c>
      <c r="I30" s="158">
        <v>12</v>
      </c>
      <c r="J30" s="158">
        <v>3</v>
      </c>
      <c r="K30" s="158">
        <v>10</v>
      </c>
      <c r="L30" s="158">
        <v>9</v>
      </c>
      <c r="M30" s="158">
        <v>27</v>
      </c>
      <c r="N30" s="158">
        <v>59</v>
      </c>
    </row>
    <row r="31" spans="2:14">
      <c r="B31" s="155" t="s">
        <v>19</v>
      </c>
      <c r="C31" s="158">
        <v>0</v>
      </c>
      <c r="D31" s="158">
        <v>0</v>
      </c>
      <c r="E31" s="158">
        <v>0</v>
      </c>
      <c r="F31" s="158">
        <v>0</v>
      </c>
      <c r="G31" s="158">
        <v>0</v>
      </c>
      <c r="H31" s="158">
        <v>0</v>
      </c>
      <c r="I31" s="158">
        <v>0</v>
      </c>
      <c r="J31" s="158">
        <v>0</v>
      </c>
      <c r="K31" s="158">
        <v>1</v>
      </c>
      <c r="L31" s="158">
        <v>27</v>
      </c>
      <c r="M31" s="158">
        <v>1</v>
      </c>
      <c r="N31" s="158">
        <v>0</v>
      </c>
    </row>
    <row r="32" spans="2:14">
      <c r="B32" s="155" t="s">
        <v>274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</row>
    <row r="33" spans="2:14">
      <c r="B33" s="156" t="s">
        <v>266</v>
      </c>
      <c r="C33" s="158">
        <v>130</v>
      </c>
      <c r="D33" s="158">
        <v>168</v>
      </c>
      <c r="E33" s="158">
        <v>190</v>
      </c>
      <c r="F33" s="158">
        <v>218</v>
      </c>
      <c r="G33" s="158">
        <v>293</v>
      </c>
      <c r="H33" s="158">
        <v>242</v>
      </c>
      <c r="I33" s="158">
        <v>404</v>
      </c>
      <c r="J33" s="158">
        <v>424</v>
      </c>
      <c r="K33" s="158">
        <v>485</v>
      </c>
      <c r="L33" s="158">
        <v>618</v>
      </c>
      <c r="M33" s="158">
        <v>846</v>
      </c>
      <c r="N33" s="158">
        <v>972</v>
      </c>
    </row>
    <row r="34" spans="2:14">
      <c r="B34" s="156" t="s">
        <v>267</v>
      </c>
      <c r="C34" s="158">
        <v>183</v>
      </c>
      <c r="D34" s="158">
        <v>217</v>
      </c>
      <c r="E34" s="158">
        <v>248</v>
      </c>
      <c r="F34" s="158">
        <v>177</v>
      </c>
      <c r="G34" s="158">
        <v>177</v>
      </c>
      <c r="H34" s="158">
        <v>243</v>
      </c>
      <c r="I34" s="158">
        <v>272</v>
      </c>
      <c r="J34" s="158">
        <v>395</v>
      </c>
      <c r="K34" s="158">
        <v>417</v>
      </c>
      <c r="L34" s="158">
        <v>453</v>
      </c>
      <c r="M34" s="158">
        <v>540</v>
      </c>
      <c r="N34" s="158">
        <v>645</v>
      </c>
    </row>
    <row r="35" spans="2:14">
      <c r="B35" s="156" t="s">
        <v>268</v>
      </c>
      <c r="C35" s="158">
        <v>185</v>
      </c>
      <c r="D35" s="158">
        <v>35</v>
      </c>
      <c r="E35" s="158">
        <v>25</v>
      </c>
      <c r="F35" s="158">
        <v>40</v>
      </c>
      <c r="G35" s="158">
        <v>34</v>
      </c>
      <c r="H35" s="158">
        <v>94</v>
      </c>
      <c r="I35" s="158">
        <v>212</v>
      </c>
      <c r="J35" s="158">
        <v>349</v>
      </c>
      <c r="K35" s="158">
        <v>715</v>
      </c>
      <c r="L35" s="158">
        <v>674</v>
      </c>
      <c r="M35" s="158">
        <v>704</v>
      </c>
      <c r="N35" s="158">
        <v>990</v>
      </c>
    </row>
    <row r="36" spans="2:14">
      <c r="B36" s="156" t="s">
        <v>269</v>
      </c>
      <c r="C36" s="158">
        <v>0</v>
      </c>
      <c r="D36" s="158">
        <v>0</v>
      </c>
      <c r="E36" s="158">
        <v>0</v>
      </c>
      <c r="F36" s="158">
        <v>0</v>
      </c>
      <c r="G36" s="158">
        <v>0</v>
      </c>
      <c r="H36" s="158">
        <v>3</v>
      </c>
      <c r="I36" s="158">
        <v>1</v>
      </c>
      <c r="J36" s="158">
        <v>21</v>
      </c>
      <c r="K36" s="158">
        <v>29</v>
      </c>
      <c r="L36" s="158">
        <v>38</v>
      </c>
      <c r="M36" s="158">
        <v>55</v>
      </c>
      <c r="N36" s="158">
        <v>65</v>
      </c>
    </row>
    <row r="37" spans="2:14" ht="14.4" thickBot="1">
      <c r="B37" s="159" t="s">
        <v>270</v>
      </c>
      <c r="C37" s="160">
        <v>11</v>
      </c>
      <c r="D37" s="160">
        <v>32</v>
      </c>
      <c r="E37" s="160">
        <v>22</v>
      </c>
      <c r="F37" s="160">
        <v>16</v>
      </c>
      <c r="G37" s="160">
        <v>29</v>
      </c>
      <c r="H37" s="160">
        <v>17</v>
      </c>
      <c r="I37" s="160">
        <v>17</v>
      </c>
      <c r="J37" s="160">
        <v>15</v>
      </c>
      <c r="K37" s="160">
        <v>48</v>
      </c>
      <c r="L37" s="160">
        <v>86</v>
      </c>
      <c r="M37" s="160">
        <v>85</v>
      </c>
      <c r="N37" s="160">
        <v>81</v>
      </c>
    </row>
    <row r="38" spans="2:14" ht="14.4" thickBot="1">
      <c r="B38" s="153" t="s">
        <v>81</v>
      </c>
      <c r="C38" s="153">
        <v>676</v>
      </c>
      <c r="D38" s="153">
        <v>722</v>
      </c>
      <c r="E38" s="153">
        <v>752</v>
      </c>
      <c r="F38" s="153">
        <v>731</v>
      </c>
      <c r="G38" s="153">
        <v>802</v>
      </c>
      <c r="H38" s="153">
        <v>902</v>
      </c>
      <c r="I38" s="154">
        <v>1228</v>
      </c>
      <c r="J38" s="154">
        <v>1636</v>
      </c>
      <c r="K38" s="154">
        <v>2190</v>
      </c>
      <c r="L38" s="154">
        <v>2681</v>
      </c>
      <c r="M38" s="154">
        <v>3240</v>
      </c>
      <c r="N38" s="154">
        <v>3856</v>
      </c>
    </row>
    <row r="41" spans="2:14">
      <c r="D41" s="15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4944-D0AC-470B-8A9C-1403C1F2A13C}">
  <dimension ref="B2:V112"/>
  <sheetViews>
    <sheetView showGridLines="0" zoomScale="84" workbookViewId="0">
      <selection activeCell="J22" sqref="J22"/>
    </sheetView>
  </sheetViews>
  <sheetFormatPr defaultRowHeight="13.8"/>
  <cols>
    <col min="1" max="1" width="3.375" customWidth="1"/>
    <col min="2" max="2" width="13" customWidth="1"/>
    <col min="3" max="3" width="12.625" bestFit="1" customWidth="1"/>
    <col min="4" max="4" width="11.25" customWidth="1"/>
    <col min="6" max="6" width="13" bestFit="1" customWidth="1"/>
    <col min="9" max="9" width="9" style="125"/>
    <col min="10" max="10" width="19.75" bestFit="1" customWidth="1"/>
    <col min="14" max="14" width="18.875" bestFit="1" customWidth="1"/>
    <col min="15" max="15" width="11.875" bestFit="1" customWidth="1"/>
    <col min="16" max="16" width="13.75" bestFit="1" customWidth="1"/>
    <col min="17" max="18" width="11.875" bestFit="1" customWidth="1"/>
    <col min="19" max="19" width="12.875" bestFit="1" customWidth="1"/>
    <col min="20" max="20" width="11.875" bestFit="1" customWidth="1"/>
    <col min="21" max="21" width="12.5" bestFit="1" customWidth="1"/>
    <col min="22" max="22" width="12.125" bestFit="1" customWidth="1"/>
  </cols>
  <sheetData>
    <row r="2" spans="2:15" ht="14.4">
      <c r="B2" s="108" t="s">
        <v>186</v>
      </c>
    </row>
    <row r="4" spans="2:15">
      <c r="B4" s="449" t="s">
        <v>191</v>
      </c>
      <c r="C4" s="449"/>
      <c r="D4" s="449"/>
      <c r="F4" s="449" t="s">
        <v>192</v>
      </c>
      <c r="G4" s="449"/>
      <c r="H4" s="449"/>
      <c r="J4" s="449" t="s">
        <v>220</v>
      </c>
      <c r="K4" s="449"/>
    </row>
    <row r="6" spans="2:15">
      <c r="N6" t="s">
        <v>193</v>
      </c>
      <c r="O6">
        <f>SLOPE(D9:D112,G9:G112)</f>
        <v>1.2084444399822236</v>
      </c>
    </row>
    <row r="7" spans="2:15" ht="15" thickBot="1">
      <c r="B7" s="112" t="s">
        <v>187</v>
      </c>
      <c r="C7" s="113" t="s">
        <v>188</v>
      </c>
      <c r="D7" s="113" t="s">
        <v>189</v>
      </c>
      <c r="F7" s="117" t="s">
        <v>188</v>
      </c>
      <c r="G7" s="117" t="s">
        <v>190</v>
      </c>
      <c r="J7" s="126" t="s">
        <v>221</v>
      </c>
      <c r="K7" s="127">
        <f>O10</f>
        <v>1.2084444399822241</v>
      </c>
      <c r="N7" t="s">
        <v>194</v>
      </c>
      <c r="O7">
        <f>_xlfn.COVARIANCE.S(D8:D112,G8:G112)/_xlfn.VAR.S(G8:G112)</f>
        <v>1.2084444399822236</v>
      </c>
    </row>
    <row r="8" spans="2:15" ht="14.4">
      <c r="B8" s="114">
        <v>45572</v>
      </c>
      <c r="C8" s="111">
        <v>289.14999999999998</v>
      </c>
      <c r="F8" s="118">
        <v>24964.25</v>
      </c>
      <c r="G8" s="110"/>
      <c r="J8" s="126" t="s">
        <v>222</v>
      </c>
      <c r="K8" s="128">
        <v>0.75</v>
      </c>
    </row>
    <row r="9" spans="2:15" ht="14.4">
      <c r="B9" s="114">
        <v>45579</v>
      </c>
      <c r="C9" s="111">
        <v>281.8</v>
      </c>
      <c r="D9" s="116">
        <f>C9/C8-1</f>
        <v>-2.5419332526370297E-2</v>
      </c>
      <c r="F9" s="118">
        <v>24854.05</v>
      </c>
      <c r="G9" s="120">
        <f t="shared" ref="G9:G72" si="0">F9/F8-1</f>
        <v>-4.4143124668275524E-3</v>
      </c>
      <c r="J9" s="126"/>
      <c r="K9" s="126"/>
    </row>
    <row r="10" spans="2:15" ht="14.4">
      <c r="B10" s="114">
        <v>45586</v>
      </c>
      <c r="C10" s="111">
        <v>263.60000000000002</v>
      </c>
      <c r="D10" s="116">
        <f t="shared" ref="D10:D73" si="1">C10/C9-1</f>
        <v>-6.4584811923349861E-2</v>
      </c>
      <c r="F10" s="118">
        <v>24180.799999999999</v>
      </c>
      <c r="G10" s="120">
        <f t="shared" si="0"/>
        <v>-2.7088140564616281E-2</v>
      </c>
      <c r="J10" s="126" t="s">
        <v>223</v>
      </c>
      <c r="K10" s="127">
        <v>1</v>
      </c>
      <c r="N10" t="s">
        <v>195</v>
      </c>
      <c r="O10">
        <f>O30</f>
        <v>1.2084444399822241</v>
      </c>
    </row>
    <row r="11" spans="2:15" ht="14.4">
      <c r="B11" s="114">
        <v>45593</v>
      </c>
      <c r="C11" s="111">
        <v>291.64999999999998</v>
      </c>
      <c r="D11" s="116">
        <f t="shared" si="1"/>
        <v>0.10641122913505296</v>
      </c>
      <c r="F11" s="118">
        <v>24304.35</v>
      </c>
      <c r="G11" s="120">
        <f t="shared" si="0"/>
        <v>5.1094256600276999E-3</v>
      </c>
      <c r="J11" s="126" t="s">
        <v>224</v>
      </c>
      <c r="K11" s="128">
        <v>0.25</v>
      </c>
    </row>
    <row r="12" spans="2:15" ht="14.4">
      <c r="B12" s="114">
        <v>45600</v>
      </c>
      <c r="C12" s="111">
        <v>299.39999999999998</v>
      </c>
      <c r="D12" s="116">
        <f t="shared" si="1"/>
        <v>2.6572947025544247E-2</v>
      </c>
      <c r="F12" s="118">
        <v>24148.2</v>
      </c>
      <c r="G12" s="120">
        <f t="shared" si="0"/>
        <v>-6.4247758117372822E-3</v>
      </c>
      <c r="J12" s="126"/>
      <c r="K12" s="126"/>
    </row>
    <row r="13" spans="2:15" ht="14.4">
      <c r="B13" s="114">
        <v>45607</v>
      </c>
      <c r="C13" s="111">
        <v>308.3</v>
      </c>
      <c r="D13" s="116">
        <f t="shared" si="1"/>
        <v>2.972611890447574E-2</v>
      </c>
      <c r="F13" s="118">
        <v>23532.7</v>
      </c>
      <c r="G13" s="120">
        <f t="shared" si="0"/>
        <v>-2.5488442202731498E-2</v>
      </c>
      <c r="J13" s="129" t="s">
        <v>225</v>
      </c>
      <c r="K13" s="130">
        <f>(K7*K8)+(K11*K10)</f>
        <v>1.156333329986668</v>
      </c>
      <c r="N13" t="s">
        <v>196</v>
      </c>
    </row>
    <row r="14" spans="2:15" ht="14.4" thickBot="1">
      <c r="B14" s="114">
        <v>45614</v>
      </c>
      <c r="C14" s="111">
        <v>308.64999999999998</v>
      </c>
      <c r="D14" s="116">
        <f t="shared" si="1"/>
        <v>1.1352578657151113E-3</v>
      </c>
      <c r="F14" s="118">
        <v>23907.25</v>
      </c>
      <c r="G14" s="120">
        <f t="shared" si="0"/>
        <v>1.5916150717937061E-2</v>
      </c>
    </row>
    <row r="15" spans="2:15">
      <c r="B15" s="114">
        <v>45621</v>
      </c>
      <c r="C15" s="111">
        <v>342.75</v>
      </c>
      <c r="D15" s="116">
        <f t="shared" si="1"/>
        <v>0.11048112749068539</v>
      </c>
      <c r="F15" s="118">
        <v>24131.1</v>
      </c>
      <c r="G15" s="120">
        <f t="shared" si="0"/>
        <v>9.3632684645870157E-3</v>
      </c>
      <c r="N15" s="124" t="s">
        <v>197</v>
      </c>
      <c r="O15" s="124"/>
    </row>
    <row r="16" spans="2:15">
      <c r="B16" s="114">
        <v>45628</v>
      </c>
      <c r="C16" s="111">
        <v>340.6</v>
      </c>
      <c r="D16" s="116">
        <f t="shared" si="1"/>
        <v>-6.2727935813274849E-3</v>
      </c>
      <c r="F16" s="118">
        <v>24677.8</v>
      </c>
      <c r="G16" s="120">
        <f t="shared" si="0"/>
        <v>2.2655411481449228E-2</v>
      </c>
      <c r="N16" s="121" t="s">
        <v>198</v>
      </c>
      <c r="O16" s="121">
        <v>0.37045258482273219</v>
      </c>
    </row>
    <row r="17" spans="2:22">
      <c r="B17" s="114">
        <v>45635</v>
      </c>
      <c r="C17" s="111">
        <v>312.25</v>
      </c>
      <c r="D17" s="116">
        <f t="shared" si="1"/>
        <v>-8.3235466823253113E-2</v>
      </c>
      <c r="F17" s="118">
        <v>24768.3</v>
      </c>
      <c r="G17" s="120">
        <f t="shared" si="0"/>
        <v>3.6672636944945491E-3</v>
      </c>
      <c r="N17" s="121" t="s">
        <v>199</v>
      </c>
      <c r="O17" s="121">
        <v>0.13723511760184359</v>
      </c>
    </row>
    <row r="18" spans="2:22">
      <c r="B18" s="114">
        <v>45642</v>
      </c>
      <c r="C18" s="111">
        <v>304.89999999999998</v>
      </c>
      <c r="D18" s="116">
        <f t="shared" si="1"/>
        <v>-2.3538831064851995E-2</v>
      </c>
      <c r="F18" s="118">
        <v>23587.5</v>
      </c>
      <c r="G18" s="120">
        <f t="shared" si="0"/>
        <v>-4.7673841159869612E-2</v>
      </c>
      <c r="N18" s="121" t="s">
        <v>200</v>
      </c>
      <c r="O18" s="121">
        <v>0.128776638362646</v>
      </c>
    </row>
    <row r="19" spans="2:22">
      <c r="B19" s="114">
        <v>45649</v>
      </c>
      <c r="C19" s="111">
        <v>293.7</v>
      </c>
      <c r="D19" s="116">
        <f t="shared" si="1"/>
        <v>-3.6733355198425688E-2</v>
      </c>
      <c r="F19" s="118">
        <v>23813.4</v>
      </c>
      <c r="G19" s="120">
        <f t="shared" si="0"/>
        <v>9.5771065182830295E-3</v>
      </c>
      <c r="N19" s="121" t="s">
        <v>201</v>
      </c>
      <c r="O19" s="121">
        <v>5.5108137638385325E-2</v>
      </c>
    </row>
    <row r="20" spans="2:22" ht="14.4" thickBot="1">
      <c r="B20" s="114">
        <v>45656</v>
      </c>
      <c r="C20" s="111">
        <v>297.89999999999998</v>
      </c>
      <c r="D20" s="116">
        <f t="shared" si="1"/>
        <v>1.4300306435137911E-2</v>
      </c>
      <c r="F20" s="118">
        <v>24004.75</v>
      </c>
      <c r="G20" s="120">
        <f t="shared" si="0"/>
        <v>8.035391838208783E-3</v>
      </c>
      <c r="N20" s="122" t="s">
        <v>202</v>
      </c>
      <c r="O20" s="122">
        <v>104</v>
      </c>
    </row>
    <row r="21" spans="2:22">
      <c r="B21" s="114">
        <v>45663</v>
      </c>
      <c r="C21" s="111">
        <v>260.5</v>
      </c>
      <c r="D21" s="116">
        <f t="shared" si="1"/>
        <v>-0.12554548506210128</v>
      </c>
      <c r="F21" s="118">
        <v>23431.5</v>
      </c>
      <c r="G21" s="120">
        <f t="shared" si="0"/>
        <v>-2.3880690280048689E-2</v>
      </c>
    </row>
    <row r="22" spans="2:22" ht="14.4" thickBot="1">
      <c r="B22" s="114">
        <v>45670</v>
      </c>
      <c r="C22" s="111">
        <v>261.55</v>
      </c>
      <c r="D22" s="116">
        <f t="shared" si="1"/>
        <v>4.0307101727448114E-3</v>
      </c>
      <c r="F22" s="118">
        <v>23203.200000000001</v>
      </c>
      <c r="G22" s="120">
        <f t="shared" si="0"/>
        <v>-9.7432942833365344E-3</v>
      </c>
      <c r="N22" t="s">
        <v>203</v>
      </c>
    </row>
    <row r="23" spans="2:22">
      <c r="B23" s="114">
        <v>45677</v>
      </c>
      <c r="C23" s="111">
        <v>252.6</v>
      </c>
      <c r="D23" s="116">
        <f t="shared" si="1"/>
        <v>-3.4219078570063122E-2</v>
      </c>
      <c r="F23" s="118">
        <v>23092.2</v>
      </c>
      <c r="G23" s="120">
        <f t="shared" si="0"/>
        <v>-4.7838229209764549E-3</v>
      </c>
      <c r="N23" s="123"/>
      <c r="O23" s="123" t="s">
        <v>207</v>
      </c>
      <c r="P23" s="123" t="s">
        <v>208</v>
      </c>
      <c r="Q23" s="123" t="s">
        <v>209</v>
      </c>
      <c r="R23" s="123" t="s">
        <v>210</v>
      </c>
      <c r="S23" s="123" t="s">
        <v>211</v>
      </c>
    </row>
    <row r="24" spans="2:22">
      <c r="B24" s="114">
        <v>45684</v>
      </c>
      <c r="C24" s="111">
        <v>246.01</v>
      </c>
      <c r="D24" s="116">
        <f t="shared" si="1"/>
        <v>-2.6088677751385569E-2</v>
      </c>
      <c r="F24" s="118">
        <v>23482.15</v>
      </c>
      <c r="G24" s="120">
        <f t="shared" si="0"/>
        <v>1.6886654368141629E-2</v>
      </c>
      <c r="N24" s="121" t="s">
        <v>204</v>
      </c>
      <c r="O24" s="121">
        <v>1</v>
      </c>
      <c r="P24" s="121">
        <v>4.9272482052627076E-2</v>
      </c>
      <c r="Q24" s="121">
        <v>4.9272482052627076E-2</v>
      </c>
      <c r="R24" s="121">
        <v>16.224561616925122</v>
      </c>
      <c r="S24" s="121">
        <v>1.0843720641599167E-4</v>
      </c>
    </row>
    <row r="25" spans="2:22">
      <c r="B25" s="114">
        <v>45691</v>
      </c>
      <c r="C25" s="111">
        <v>272.93</v>
      </c>
      <c r="D25" s="116">
        <f t="shared" si="1"/>
        <v>0.10942644607942764</v>
      </c>
      <c r="F25" s="118">
        <v>23559.95</v>
      </c>
      <c r="G25" s="120">
        <f t="shared" si="0"/>
        <v>3.3131548857323612E-3</v>
      </c>
      <c r="N25" s="121" t="s">
        <v>205</v>
      </c>
      <c r="O25" s="121">
        <v>102</v>
      </c>
      <c r="P25" s="121">
        <v>0.30976449706506459</v>
      </c>
      <c r="Q25" s="121">
        <v>3.0369068339712213E-3</v>
      </c>
      <c r="R25" s="121"/>
      <c r="S25" s="121"/>
    </row>
    <row r="26" spans="2:22" ht="14.4" thickBot="1">
      <c r="B26" s="114">
        <v>45698</v>
      </c>
      <c r="C26" s="111">
        <v>230.69</v>
      </c>
      <c r="D26" s="116">
        <f t="shared" si="1"/>
        <v>-0.15476495804785118</v>
      </c>
      <c r="F26" s="118">
        <v>22929.25</v>
      </c>
      <c r="G26" s="120">
        <f t="shared" si="0"/>
        <v>-2.6770005878620329E-2</v>
      </c>
      <c r="N26" s="122" t="s">
        <v>17</v>
      </c>
      <c r="O26" s="122">
        <v>103</v>
      </c>
      <c r="P26" s="122">
        <v>0.35903697911769167</v>
      </c>
      <c r="Q26" s="122"/>
      <c r="R26" s="122"/>
      <c r="S26" s="122"/>
    </row>
    <row r="27" spans="2:22" ht="14.4" thickBot="1">
      <c r="B27" s="114">
        <v>45705</v>
      </c>
      <c r="C27" s="111">
        <v>226.05</v>
      </c>
      <c r="D27" s="116">
        <f t="shared" si="1"/>
        <v>-2.0113572326498685E-2</v>
      </c>
      <c r="F27" s="118">
        <v>22795.9</v>
      </c>
      <c r="G27" s="120">
        <f t="shared" si="0"/>
        <v>-5.8157157342695331E-3</v>
      </c>
    </row>
    <row r="28" spans="2:22">
      <c r="B28" s="114">
        <v>45712</v>
      </c>
      <c r="C28" s="111">
        <v>204.69</v>
      </c>
      <c r="D28" s="116">
        <f t="shared" si="1"/>
        <v>-9.4492368944923744E-2</v>
      </c>
      <c r="F28" s="118">
        <v>22124.7</v>
      </c>
      <c r="G28" s="120">
        <f t="shared" si="0"/>
        <v>-2.9443891226053842E-2</v>
      </c>
      <c r="N28" s="123"/>
      <c r="O28" s="123" t="s">
        <v>212</v>
      </c>
      <c r="P28" s="123" t="s">
        <v>201</v>
      </c>
      <c r="Q28" s="123" t="s">
        <v>213</v>
      </c>
      <c r="R28" s="123" t="s">
        <v>214</v>
      </c>
      <c r="S28" s="123" t="s">
        <v>215</v>
      </c>
      <c r="T28" s="123" t="s">
        <v>216</v>
      </c>
      <c r="U28" s="123" t="s">
        <v>217</v>
      </c>
      <c r="V28" s="123" t="s">
        <v>218</v>
      </c>
    </row>
    <row r="29" spans="2:22">
      <c r="B29" s="114">
        <v>45719</v>
      </c>
      <c r="C29" s="111">
        <v>207.17</v>
      </c>
      <c r="D29" s="116">
        <f t="shared" si="1"/>
        <v>1.2115882554106117E-2</v>
      </c>
      <c r="F29" s="118">
        <v>22552.5</v>
      </c>
      <c r="G29" s="120">
        <f t="shared" si="0"/>
        <v>1.9335855401429125E-2</v>
      </c>
      <c r="N29" s="121" t="s">
        <v>206</v>
      </c>
      <c r="O29" s="121">
        <v>3.3583204666854539E-3</v>
      </c>
      <c r="P29" s="121">
        <v>5.4095050640916862E-3</v>
      </c>
      <c r="Q29" s="121">
        <v>0.62081843475440979</v>
      </c>
      <c r="R29" s="121">
        <v>0.53610388691802524</v>
      </c>
      <c r="S29" s="121">
        <v>-7.3714071791122996E-3</v>
      </c>
      <c r="T29" s="121">
        <v>1.4088048112483207E-2</v>
      </c>
      <c r="U29" s="121">
        <v>-7.3714071791122996E-3</v>
      </c>
      <c r="V29" s="121">
        <v>1.4088048112483207E-2</v>
      </c>
    </row>
    <row r="30" spans="2:22" ht="14.4" thickBot="1">
      <c r="B30" s="114">
        <v>45726</v>
      </c>
      <c r="C30" s="111">
        <v>194.4</v>
      </c>
      <c r="D30" s="116">
        <f t="shared" si="1"/>
        <v>-6.1640198870492768E-2</v>
      </c>
      <c r="F30" s="118">
        <v>22397.200000000001</v>
      </c>
      <c r="G30" s="120">
        <f t="shared" si="0"/>
        <v>-6.8861545283227521E-3</v>
      </c>
      <c r="N30" s="122" t="s">
        <v>219</v>
      </c>
      <c r="O30" s="122">
        <v>1.2084444399822241</v>
      </c>
      <c r="P30" s="122">
        <v>0.30001308882012234</v>
      </c>
      <c r="Q30" s="122">
        <v>4.0279723952536157</v>
      </c>
      <c r="R30" s="122">
        <v>1.0843720641599113E-4</v>
      </c>
      <c r="S30" s="122">
        <v>0.61336990080070686</v>
      </c>
      <c r="T30" s="122">
        <v>1.8035189791637412</v>
      </c>
      <c r="U30" s="122">
        <v>0.61336990080070686</v>
      </c>
      <c r="V30" s="122">
        <v>1.8035189791637412</v>
      </c>
    </row>
    <row r="31" spans="2:22">
      <c r="B31" s="114">
        <v>45733</v>
      </c>
      <c r="C31" s="111">
        <v>216.84</v>
      </c>
      <c r="D31" s="116">
        <f t="shared" si="1"/>
        <v>0.11543209876543203</v>
      </c>
      <c r="F31" s="118">
        <v>23350.400000000001</v>
      </c>
      <c r="G31" s="120">
        <f t="shared" si="0"/>
        <v>4.2558891289982803E-2</v>
      </c>
    </row>
    <row r="32" spans="2:22">
      <c r="B32" s="114">
        <v>45740</v>
      </c>
      <c r="C32" s="111">
        <v>222.47</v>
      </c>
      <c r="D32" s="116">
        <f t="shared" si="1"/>
        <v>2.5963844309168094E-2</v>
      </c>
      <c r="F32" s="118">
        <v>23519.35</v>
      </c>
      <c r="G32" s="120">
        <f t="shared" si="0"/>
        <v>7.2354220912702605E-3</v>
      </c>
    </row>
    <row r="33" spans="2:7">
      <c r="B33" s="114">
        <v>45747</v>
      </c>
      <c r="C33" s="111">
        <v>206.69</v>
      </c>
      <c r="D33" s="116">
        <f t="shared" si="1"/>
        <v>-7.0930912033083104E-2</v>
      </c>
      <c r="F33" s="118">
        <v>22904.45</v>
      </c>
      <c r="G33" s="120">
        <f t="shared" si="0"/>
        <v>-2.6144430011883713E-2</v>
      </c>
    </row>
    <row r="34" spans="2:7">
      <c r="B34" s="114">
        <v>45754</v>
      </c>
      <c r="C34" s="111">
        <v>205.58</v>
      </c>
      <c r="D34" s="116">
        <f t="shared" si="1"/>
        <v>-5.3703614108083775E-3</v>
      </c>
      <c r="F34" s="118">
        <v>22828.55</v>
      </c>
      <c r="G34" s="120">
        <f t="shared" si="0"/>
        <v>-3.3137665388167648E-3</v>
      </c>
    </row>
    <row r="35" spans="2:7">
      <c r="B35" s="114">
        <v>45761</v>
      </c>
      <c r="C35" s="111">
        <v>211.44</v>
      </c>
      <c r="D35" s="116">
        <f t="shared" si="1"/>
        <v>2.8504718357816872E-2</v>
      </c>
      <c r="F35" s="118">
        <v>23851.65</v>
      </c>
      <c r="G35" s="120">
        <f t="shared" si="0"/>
        <v>4.4816687875489425E-2</v>
      </c>
    </row>
    <row r="36" spans="2:7">
      <c r="B36" s="114">
        <v>45768</v>
      </c>
      <c r="C36" s="111">
        <v>216.03</v>
      </c>
      <c r="D36" s="116">
        <f t="shared" si="1"/>
        <v>2.1708286038592428E-2</v>
      </c>
      <c r="F36" s="118">
        <v>24039.35</v>
      </c>
      <c r="G36" s="120">
        <f t="shared" si="0"/>
        <v>7.86947653516612E-3</v>
      </c>
    </row>
    <row r="37" spans="2:7">
      <c r="B37" s="114">
        <v>45775</v>
      </c>
      <c r="C37" s="111">
        <v>223.25</v>
      </c>
      <c r="D37" s="116">
        <f t="shared" si="1"/>
        <v>3.3421284080914715E-2</v>
      </c>
      <c r="F37" s="118">
        <v>24346.7</v>
      </c>
      <c r="G37" s="120">
        <f t="shared" si="0"/>
        <v>1.2785287455775673E-2</v>
      </c>
    </row>
    <row r="38" spans="2:7">
      <c r="B38" s="114">
        <v>45782</v>
      </c>
      <c r="C38" s="111">
        <v>226.23</v>
      </c>
      <c r="D38" s="116">
        <f t="shared" si="1"/>
        <v>1.3348264277715627E-2</v>
      </c>
      <c r="F38" s="118">
        <v>24008</v>
      </c>
      <c r="G38" s="120">
        <f t="shared" si="0"/>
        <v>-1.391153626569519E-2</v>
      </c>
    </row>
    <row r="39" spans="2:7">
      <c r="B39" s="114">
        <v>45789</v>
      </c>
      <c r="C39" s="111">
        <v>241.4</v>
      </c>
      <c r="D39" s="116">
        <f t="shared" si="1"/>
        <v>6.7055651328294275E-2</v>
      </c>
      <c r="F39" s="118">
        <v>25019.8</v>
      </c>
      <c r="G39" s="120">
        <f t="shared" si="0"/>
        <v>4.2144285238253865E-2</v>
      </c>
    </row>
    <row r="40" spans="2:7">
      <c r="B40" s="114">
        <v>45796</v>
      </c>
      <c r="C40" s="111">
        <v>246.67</v>
      </c>
      <c r="D40" s="116">
        <f t="shared" si="1"/>
        <v>2.1830985915492818E-2</v>
      </c>
      <c r="F40" s="118">
        <v>24853.15</v>
      </c>
      <c r="G40" s="120">
        <f t="shared" si="0"/>
        <v>-6.660724706032739E-3</v>
      </c>
    </row>
    <row r="41" spans="2:7">
      <c r="B41" s="114">
        <v>45803</v>
      </c>
      <c r="C41" s="111">
        <v>261.42</v>
      </c>
      <c r="D41" s="116">
        <f t="shared" si="1"/>
        <v>5.9796489236632056E-2</v>
      </c>
      <c r="F41" s="118">
        <v>24750.7</v>
      </c>
      <c r="G41" s="120">
        <f t="shared" si="0"/>
        <v>-4.1222138843567402E-3</v>
      </c>
    </row>
    <row r="42" spans="2:7">
      <c r="B42" s="114">
        <v>45810</v>
      </c>
      <c r="C42" s="111">
        <v>251.95</v>
      </c>
      <c r="D42" s="116">
        <f t="shared" si="1"/>
        <v>-3.6225231428352989E-2</v>
      </c>
      <c r="F42" s="118">
        <v>25003.05</v>
      </c>
      <c r="G42" s="120">
        <f t="shared" si="0"/>
        <v>1.0195671233540704E-2</v>
      </c>
    </row>
    <row r="43" spans="2:7">
      <c r="B43" s="114">
        <v>45817</v>
      </c>
      <c r="C43" s="111">
        <v>259.25</v>
      </c>
      <c r="D43" s="116">
        <f t="shared" si="1"/>
        <v>2.8974002778329178E-2</v>
      </c>
      <c r="F43" s="118">
        <v>24718.6</v>
      </c>
      <c r="G43" s="120">
        <f t="shared" si="0"/>
        <v>-1.1376612053329516E-2</v>
      </c>
    </row>
    <row r="44" spans="2:7">
      <c r="B44" s="114">
        <v>45824</v>
      </c>
      <c r="C44" s="111">
        <v>240</v>
      </c>
      <c r="D44" s="116">
        <f t="shared" si="1"/>
        <v>-7.4252651880424292E-2</v>
      </c>
      <c r="F44" s="118">
        <v>25112.400000000001</v>
      </c>
      <c r="G44" s="120">
        <f t="shared" si="0"/>
        <v>1.5931322971365791E-2</v>
      </c>
    </row>
    <row r="45" spans="2:7">
      <c r="B45" s="114">
        <v>45831</v>
      </c>
      <c r="C45" s="111">
        <v>252.55</v>
      </c>
      <c r="D45" s="116">
        <f t="shared" si="1"/>
        <v>5.2291666666666625E-2</v>
      </c>
      <c r="F45" s="118">
        <v>25637.8</v>
      </c>
      <c r="G45" s="120">
        <f t="shared" si="0"/>
        <v>2.092193498032846E-2</v>
      </c>
    </row>
    <row r="46" spans="2:7">
      <c r="B46" s="114">
        <v>45838</v>
      </c>
      <c r="C46" s="111">
        <v>263.05</v>
      </c>
      <c r="D46" s="116">
        <f t="shared" si="1"/>
        <v>4.1575925559295124E-2</v>
      </c>
      <c r="F46" s="118">
        <v>25461</v>
      </c>
      <c r="G46" s="120">
        <f t="shared" si="0"/>
        <v>-6.8960675252947023E-3</v>
      </c>
    </row>
    <row r="47" spans="2:7">
      <c r="B47" s="114">
        <v>45845</v>
      </c>
      <c r="C47" s="111">
        <v>254.55</v>
      </c>
      <c r="D47" s="116">
        <f t="shared" si="1"/>
        <v>-3.2313248431857011E-2</v>
      </c>
      <c r="F47" s="118">
        <v>25149.85</v>
      </c>
      <c r="G47" s="120">
        <f t="shared" si="0"/>
        <v>-1.2220651192019205E-2</v>
      </c>
    </row>
    <row r="48" spans="2:7">
      <c r="B48" s="114">
        <v>45852</v>
      </c>
      <c r="C48" s="111">
        <v>255.75</v>
      </c>
      <c r="D48" s="116">
        <f t="shared" si="1"/>
        <v>4.7142015321155473E-3</v>
      </c>
      <c r="F48" s="118">
        <v>24968.400000000001</v>
      </c>
      <c r="G48" s="120">
        <f t="shared" si="0"/>
        <v>-7.214754759968578E-3</v>
      </c>
    </row>
    <row r="49" spans="2:7">
      <c r="B49" s="114">
        <v>45859</v>
      </c>
      <c r="C49" s="111">
        <v>227.75</v>
      </c>
      <c r="D49" s="116">
        <f t="shared" si="1"/>
        <v>-0.10948191593352885</v>
      </c>
      <c r="F49" s="118">
        <v>24837</v>
      </c>
      <c r="G49" s="120">
        <f t="shared" si="0"/>
        <v>-5.2626519921180615E-3</v>
      </c>
    </row>
    <row r="50" spans="2:7">
      <c r="B50" s="114">
        <v>45866</v>
      </c>
      <c r="C50" s="111">
        <v>224.86</v>
      </c>
      <c r="D50" s="116">
        <f t="shared" si="1"/>
        <v>-1.2689352360043871E-2</v>
      </c>
      <c r="F50" s="118">
        <v>24565.35</v>
      </c>
      <c r="G50" s="120">
        <f t="shared" si="0"/>
        <v>-1.0937311269477057E-2</v>
      </c>
    </row>
    <row r="51" spans="2:7">
      <c r="B51" s="114">
        <v>45873</v>
      </c>
      <c r="C51" s="111">
        <v>210.95</v>
      </c>
      <c r="D51" s="116">
        <f t="shared" si="1"/>
        <v>-6.1860713332740458E-2</v>
      </c>
      <c r="F51" s="118">
        <v>24363.3</v>
      </c>
      <c r="G51" s="120">
        <f t="shared" si="0"/>
        <v>-8.2249998473459263E-3</v>
      </c>
    </row>
    <row r="52" spans="2:7">
      <c r="B52" s="114">
        <v>45880</v>
      </c>
      <c r="C52" s="111">
        <v>178.58</v>
      </c>
      <c r="D52" s="116">
        <f t="shared" si="1"/>
        <v>-0.15344868452239857</v>
      </c>
      <c r="F52" s="118">
        <v>24631.3</v>
      </c>
      <c r="G52" s="120">
        <f t="shared" si="0"/>
        <v>1.100015186776826E-2</v>
      </c>
    </row>
    <row r="53" spans="2:7">
      <c r="B53" s="114">
        <v>45887</v>
      </c>
      <c r="C53" s="111">
        <v>179.96</v>
      </c>
      <c r="D53" s="116">
        <f t="shared" si="1"/>
        <v>7.7276290738044207E-3</v>
      </c>
      <c r="F53" s="118">
        <v>24870.1</v>
      </c>
      <c r="G53" s="120">
        <f t="shared" si="0"/>
        <v>9.6949815884666002E-3</v>
      </c>
    </row>
    <row r="54" spans="2:7">
      <c r="B54" s="114">
        <v>45894</v>
      </c>
      <c r="C54" s="111">
        <v>168.6</v>
      </c>
      <c r="D54" s="116">
        <f t="shared" si="1"/>
        <v>-6.3125138919760015E-2</v>
      </c>
      <c r="F54" s="118">
        <v>24426.85</v>
      </c>
      <c r="G54" s="120">
        <f t="shared" si="0"/>
        <v>-1.7822606262138052E-2</v>
      </c>
    </row>
    <row r="55" spans="2:7">
      <c r="B55" s="114">
        <v>45901</v>
      </c>
      <c r="C55" s="111">
        <v>168.91</v>
      </c>
      <c r="D55" s="116">
        <f t="shared" si="1"/>
        <v>1.8386714116251923E-3</v>
      </c>
      <c r="F55" s="118">
        <v>24741</v>
      </c>
      <c r="G55" s="120">
        <f t="shared" si="0"/>
        <v>1.2860847796584585E-2</v>
      </c>
    </row>
    <row r="56" spans="2:7">
      <c r="B56" s="114">
        <v>45908</v>
      </c>
      <c r="C56" s="111">
        <v>172.93</v>
      </c>
      <c r="D56" s="116">
        <f t="shared" si="1"/>
        <v>2.3799656621869669E-2</v>
      </c>
      <c r="F56" s="118">
        <v>25114</v>
      </c>
      <c r="G56" s="120">
        <f t="shared" si="0"/>
        <v>1.5076189321369338E-2</v>
      </c>
    </row>
    <row r="57" spans="2:7">
      <c r="B57" s="114">
        <v>45915</v>
      </c>
      <c r="C57" s="111">
        <v>179.11</v>
      </c>
      <c r="D57" s="116">
        <f t="shared" si="1"/>
        <v>3.5737003411785206E-2</v>
      </c>
      <c r="F57" s="118">
        <v>25327.05</v>
      </c>
      <c r="G57" s="120">
        <f t="shared" si="0"/>
        <v>8.4833160786812467E-3</v>
      </c>
    </row>
    <row r="58" spans="2:7">
      <c r="B58" s="114">
        <v>45922</v>
      </c>
      <c r="C58" s="111">
        <v>164.38</v>
      </c>
      <c r="D58" s="116">
        <f t="shared" si="1"/>
        <v>-8.2239964267768473E-2</v>
      </c>
      <c r="F58" s="118">
        <v>24654.7</v>
      </c>
      <c r="G58" s="120">
        <f t="shared" si="0"/>
        <v>-2.6546715863079107E-2</v>
      </c>
    </row>
    <row r="59" spans="2:7">
      <c r="B59" s="114">
        <v>45929</v>
      </c>
      <c r="C59" s="111">
        <v>166.53</v>
      </c>
      <c r="D59" s="116">
        <f t="shared" si="1"/>
        <v>1.3079450054751307E-2</v>
      </c>
      <c r="F59" s="118">
        <v>24894.25</v>
      </c>
      <c r="G59" s="120">
        <f t="shared" si="0"/>
        <v>9.7162001565624934E-3</v>
      </c>
    </row>
    <row r="60" spans="2:7">
      <c r="B60" s="114">
        <v>45936</v>
      </c>
      <c r="C60" s="111">
        <v>181.58</v>
      </c>
      <c r="D60" s="116">
        <f t="shared" si="1"/>
        <v>9.0374106767549423E-2</v>
      </c>
      <c r="F60" s="118">
        <v>25285.35</v>
      </c>
      <c r="G60" s="120">
        <f t="shared" si="0"/>
        <v>1.5710455225604214E-2</v>
      </c>
    </row>
    <row r="61" spans="2:7">
      <c r="B61" s="114">
        <v>45943</v>
      </c>
      <c r="C61" s="111">
        <v>177.05</v>
      </c>
      <c r="D61" s="116">
        <f t="shared" si="1"/>
        <v>-2.4947681462716198E-2</v>
      </c>
      <c r="F61" s="118">
        <v>25709.85</v>
      </c>
      <c r="G61" s="120">
        <f t="shared" si="0"/>
        <v>1.6788377459675319E-2</v>
      </c>
    </row>
    <row r="62" spans="2:7">
      <c r="B62" s="114">
        <v>45950</v>
      </c>
      <c r="C62" s="111">
        <v>176.7</v>
      </c>
      <c r="D62" s="116">
        <f t="shared" si="1"/>
        <v>-1.9768426998024724E-3</v>
      </c>
      <c r="F62" s="118">
        <v>25795.15</v>
      </c>
      <c r="G62" s="120">
        <f t="shared" si="0"/>
        <v>3.3177945417808274E-3</v>
      </c>
    </row>
    <row r="63" spans="2:7">
      <c r="B63" s="114">
        <v>45957</v>
      </c>
      <c r="C63" s="111">
        <v>182.08</v>
      </c>
      <c r="D63" s="116">
        <f t="shared" si="1"/>
        <v>3.0447085455574507E-2</v>
      </c>
      <c r="F63" s="118">
        <v>25722.1</v>
      </c>
      <c r="G63" s="120">
        <f t="shared" si="0"/>
        <v>-2.8319277073404203E-3</v>
      </c>
    </row>
    <row r="64" spans="2:7">
      <c r="B64" s="114">
        <v>45964</v>
      </c>
      <c r="C64" s="111">
        <v>182.95</v>
      </c>
      <c r="D64" s="116">
        <f t="shared" si="1"/>
        <v>4.7781195079084071E-3</v>
      </c>
      <c r="F64" s="118">
        <v>25492.3</v>
      </c>
      <c r="G64" s="120">
        <f t="shared" si="0"/>
        <v>-8.9339517379996014E-3</v>
      </c>
    </row>
    <row r="65" spans="2:7">
      <c r="B65" s="114">
        <v>45971</v>
      </c>
      <c r="C65" s="111">
        <v>192.44</v>
      </c>
      <c r="D65" s="116">
        <f t="shared" si="1"/>
        <v>5.1872096201147855E-2</v>
      </c>
      <c r="F65" s="118">
        <v>25910.05</v>
      </c>
      <c r="G65" s="120">
        <f t="shared" si="0"/>
        <v>1.6387301263518728E-2</v>
      </c>
    </row>
    <row r="66" spans="2:7">
      <c r="B66" s="114">
        <v>45978</v>
      </c>
      <c r="C66" s="111">
        <v>191.73</v>
      </c>
      <c r="D66" s="116">
        <f t="shared" si="1"/>
        <v>-3.689461650384529E-3</v>
      </c>
      <c r="F66" s="118">
        <v>26068.15</v>
      </c>
      <c r="G66" s="120">
        <f t="shared" si="0"/>
        <v>6.1018793865701415E-3</v>
      </c>
    </row>
    <row r="67" spans="2:7">
      <c r="B67" s="114">
        <v>45985</v>
      </c>
      <c r="C67" s="111">
        <v>187.95</v>
      </c>
      <c r="D67" s="116">
        <f t="shared" si="1"/>
        <v>-1.9715224534501696E-2</v>
      </c>
      <c r="F67" s="118">
        <v>26202.95</v>
      </c>
      <c r="G67" s="120">
        <f t="shared" si="0"/>
        <v>5.1710612375637233E-3</v>
      </c>
    </row>
    <row r="68" spans="2:7">
      <c r="B68" s="114">
        <v>45992</v>
      </c>
      <c r="C68" s="111">
        <v>183.97</v>
      </c>
      <c r="D68" s="116">
        <f t="shared" si="1"/>
        <v>-2.1175844639531705E-2</v>
      </c>
      <c r="F68" s="118">
        <v>26186.45</v>
      </c>
      <c r="G68" s="120">
        <f t="shared" si="0"/>
        <v>-6.297000910202577E-4</v>
      </c>
    </row>
    <row r="69" spans="2:7">
      <c r="B69" s="114">
        <v>45999</v>
      </c>
      <c r="C69" s="111">
        <v>193.86</v>
      </c>
      <c r="D69" s="116">
        <f t="shared" si="1"/>
        <v>5.3758765016035381E-2</v>
      </c>
      <c r="F69" s="118">
        <v>26046.95</v>
      </c>
      <c r="G69" s="120">
        <f t="shared" si="0"/>
        <v>-5.3271825696113995E-3</v>
      </c>
    </row>
    <row r="70" spans="2:7">
      <c r="B70" s="114">
        <v>46006</v>
      </c>
      <c r="C70" s="111">
        <v>182.82</v>
      </c>
      <c r="D70" s="116">
        <f t="shared" si="1"/>
        <v>-5.6948313215722801E-2</v>
      </c>
      <c r="F70" s="118">
        <v>25966.400000000001</v>
      </c>
      <c r="G70" s="120">
        <f t="shared" si="0"/>
        <v>-3.0924925951022475E-3</v>
      </c>
    </row>
    <row r="71" spans="2:7">
      <c r="B71" s="114">
        <v>46013</v>
      </c>
      <c r="C71" s="111">
        <v>178.96</v>
      </c>
      <c r="D71" s="116">
        <f t="shared" si="1"/>
        <v>-2.1113663712941655E-2</v>
      </c>
      <c r="F71" s="118">
        <v>26042.3</v>
      </c>
      <c r="G71" s="120">
        <f t="shared" si="0"/>
        <v>2.9230081952060782E-3</v>
      </c>
    </row>
    <row r="72" spans="2:7">
      <c r="B72" s="114">
        <v>46020</v>
      </c>
      <c r="C72" s="111">
        <v>182.19</v>
      </c>
      <c r="D72" s="116">
        <f t="shared" si="1"/>
        <v>1.8048725972284352E-2</v>
      </c>
      <c r="F72" s="118">
        <v>26328.55</v>
      </c>
      <c r="G72" s="120">
        <f t="shared" si="0"/>
        <v>1.0991732681061128E-2</v>
      </c>
    </row>
    <row r="73" spans="2:7">
      <c r="B73" s="114">
        <v>46027</v>
      </c>
      <c r="C73" s="111">
        <v>173.97</v>
      </c>
      <c r="D73" s="116">
        <f t="shared" si="1"/>
        <v>-4.5117734233492524E-2</v>
      </c>
      <c r="F73" s="118">
        <v>25683.3</v>
      </c>
      <c r="G73" s="120">
        <f t="shared" ref="G73:G112" si="2">F73/F72-1</f>
        <v>-2.4507616256877029E-2</v>
      </c>
    </row>
    <row r="74" spans="2:7">
      <c r="B74" s="114">
        <v>46034</v>
      </c>
      <c r="C74" s="111">
        <v>172.58</v>
      </c>
      <c r="D74" s="116">
        <f t="shared" ref="D74:D112" si="3">C74/C73-1</f>
        <v>-7.9898833132148184E-3</v>
      </c>
      <c r="F74" s="118">
        <v>25694.35</v>
      </c>
      <c r="G74" s="120">
        <f t="shared" si="2"/>
        <v>4.3024066222008273E-4</v>
      </c>
    </row>
    <row r="75" spans="2:7">
      <c r="B75" s="114">
        <v>46041</v>
      </c>
      <c r="C75" s="111">
        <v>163.27000000000001</v>
      </c>
      <c r="D75" s="116">
        <f t="shared" si="3"/>
        <v>-5.3945996059798329E-2</v>
      </c>
      <c r="F75" s="118">
        <v>25048.65</v>
      </c>
      <c r="G75" s="120">
        <f t="shared" si="2"/>
        <v>-2.5130038315816394E-2</v>
      </c>
    </row>
    <row r="76" spans="2:7">
      <c r="B76" s="114">
        <v>46048</v>
      </c>
      <c r="C76" s="111">
        <v>168.06</v>
      </c>
      <c r="D76" s="116">
        <f t="shared" si="3"/>
        <v>2.9337906535187086E-2</v>
      </c>
      <c r="F76" s="118">
        <v>24825.45</v>
      </c>
      <c r="G76" s="120">
        <f t="shared" si="2"/>
        <v>-8.9106598559204331E-3</v>
      </c>
    </row>
    <row r="77" spans="2:7">
      <c r="B77" s="114">
        <v>46055</v>
      </c>
      <c r="C77" s="111">
        <v>177.36</v>
      </c>
      <c r="D77" s="116">
        <f t="shared" si="3"/>
        <v>5.5337379507318873E-2</v>
      </c>
      <c r="F77" s="118">
        <v>25693.7</v>
      </c>
      <c r="G77" s="120">
        <f t="shared" si="2"/>
        <v>3.4974189793135713E-2</v>
      </c>
    </row>
    <row r="78" spans="2:7">
      <c r="B78" s="114">
        <v>46062</v>
      </c>
      <c r="C78" s="111">
        <v>181.75</v>
      </c>
      <c r="D78" s="116">
        <f t="shared" si="3"/>
        <v>2.4751917004961488E-2</v>
      </c>
      <c r="F78" s="118">
        <v>25471.1</v>
      </c>
      <c r="G78" s="120">
        <f t="shared" si="2"/>
        <v>-8.6636023616685209E-3</v>
      </c>
    </row>
    <row r="79" spans="2:7">
      <c r="B79" s="114">
        <v>46069</v>
      </c>
      <c r="C79" s="111">
        <v>178.38</v>
      </c>
      <c r="D79" s="116">
        <f t="shared" si="3"/>
        <v>-1.8541953232462216E-2</v>
      </c>
      <c r="F79" s="118">
        <v>25571.25</v>
      </c>
      <c r="G79" s="120">
        <f t="shared" si="2"/>
        <v>3.9319071418195684E-3</v>
      </c>
    </row>
    <row r="80" spans="2:7">
      <c r="B80" s="114">
        <v>46076</v>
      </c>
      <c r="C80" s="111">
        <v>173.93</v>
      </c>
      <c r="D80" s="116">
        <f t="shared" si="3"/>
        <v>-2.4946742908397712E-2</v>
      </c>
      <c r="F80" s="118">
        <v>25178.65</v>
      </c>
      <c r="G80" s="120">
        <f t="shared" si="2"/>
        <v>-1.5353179840641329E-2</v>
      </c>
    </row>
    <row r="81" spans="2:7">
      <c r="B81" s="114">
        <v>46083</v>
      </c>
      <c r="C81" s="111">
        <v>171.05</v>
      </c>
      <c r="D81" s="116">
        <f t="shared" si="3"/>
        <v>-1.6558385557408073E-2</v>
      </c>
      <c r="F81" s="118">
        <v>24450.45</v>
      </c>
      <c r="G81" s="120">
        <f t="shared" si="2"/>
        <v>-2.892132818876314E-2</v>
      </c>
    </row>
    <row r="82" spans="2:7">
      <c r="B82" s="114">
        <v>46090</v>
      </c>
      <c r="C82" s="111">
        <v>167.01</v>
      </c>
      <c r="D82" s="116">
        <f t="shared" si="3"/>
        <v>-2.361882490499867E-2</v>
      </c>
      <c r="F82" s="118">
        <v>23151.1</v>
      </c>
      <c r="G82" s="120">
        <f t="shared" si="2"/>
        <v>-5.3142171207482991E-2</v>
      </c>
    </row>
    <row r="83" spans="2:7">
      <c r="B83" s="114">
        <v>46097</v>
      </c>
      <c r="C83" s="111">
        <v>170.05</v>
      </c>
      <c r="D83" s="116">
        <f t="shared" si="3"/>
        <v>1.8202502844141266E-2</v>
      </c>
      <c r="F83" s="118">
        <v>23114.5</v>
      </c>
      <c r="G83" s="120">
        <f t="shared" si="2"/>
        <v>-1.5809184012853805E-3</v>
      </c>
    </row>
    <row r="84" spans="2:7">
      <c r="B84" s="114">
        <v>46104</v>
      </c>
      <c r="C84" s="111">
        <v>163.08000000000001</v>
      </c>
      <c r="D84" s="116">
        <f t="shared" si="3"/>
        <v>-4.0987944722140512E-2</v>
      </c>
      <c r="F84" s="118">
        <v>22819.599999999999</v>
      </c>
      <c r="G84" s="120">
        <f t="shared" si="2"/>
        <v>-1.275822535637805E-2</v>
      </c>
    </row>
    <row r="85" spans="2:7">
      <c r="B85" s="114">
        <v>46111</v>
      </c>
      <c r="C85" s="111">
        <v>168.15</v>
      </c>
      <c r="D85" s="116">
        <f t="shared" si="3"/>
        <v>3.1089036055923502E-2</v>
      </c>
      <c r="F85" s="118">
        <v>22713.1</v>
      </c>
      <c r="G85" s="120">
        <f t="shared" si="2"/>
        <v>-4.6670406142088616E-3</v>
      </c>
    </row>
    <row r="86" spans="2:7">
      <c r="B86" s="114">
        <v>46118</v>
      </c>
      <c r="C86" s="111">
        <v>178.48</v>
      </c>
      <c r="D86" s="116">
        <f t="shared" si="3"/>
        <v>6.1433244127267139E-2</v>
      </c>
      <c r="F86" s="118">
        <v>24050.6</v>
      </c>
      <c r="G86" s="120">
        <f t="shared" si="2"/>
        <v>5.8886721759689342E-2</v>
      </c>
    </row>
    <row r="87" spans="2:7">
      <c r="B87" s="114">
        <v>46125</v>
      </c>
      <c r="C87" s="111">
        <v>179.23</v>
      </c>
      <c r="D87" s="116">
        <f t="shared" si="3"/>
        <v>4.2021515015688848E-3</v>
      </c>
      <c r="F87" s="118">
        <v>24353.55</v>
      </c>
      <c r="G87" s="120">
        <f t="shared" si="2"/>
        <v>1.2596359342386565E-2</v>
      </c>
    </row>
    <row r="88" spans="2:7">
      <c r="B88" s="114">
        <v>46132</v>
      </c>
      <c r="C88" s="111">
        <v>190.21</v>
      </c>
      <c r="D88" s="116">
        <f t="shared" si="3"/>
        <v>6.1262065502427188E-2</v>
      </c>
      <c r="F88" s="118">
        <v>23897.95</v>
      </c>
      <c r="G88" s="120">
        <f t="shared" si="2"/>
        <v>-1.8707744866764742E-2</v>
      </c>
    </row>
    <row r="89" spans="2:7">
      <c r="B89" s="114">
        <v>46139</v>
      </c>
      <c r="C89" s="111">
        <v>184.63</v>
      </c>
      <c r="D89" s="116">
        <f t="shared" si="3"/>
        <v>-2.9335997055885632E-2</v>
      </c>
      <c r="F89" s="118">
        <v>23997.55</v>
      </c>
      <c r="G89" s="120">
        <f t="shared" si="2"/>
        <v>4.167721499124255E-3</v>
      </c>
    </row>
    <row r="90" spans="2:7">
      <c r="B90" s="114">
        <v>46146</v>
      </c>
      <c r="C90" s="111">
        <v>197.76</v>
      </c>
      <c r="D90" s="116">
        <f t="shared" si="3"/>
        <v>7.1115203379732428E-2</v>
      </c>
      <c r="F90" s="118">
        <v>24176.15</v>
      </c>
      <c r="G90" s="120">
        <f t="shared" si="2"/>
        <v>7.4424264143633234E-3</v>
      </c>
    </row>
    <row r="91" spans="2:7">
      <c r="B91" s="114">
        <v>46153</v>
      </c>
      <c r="C91" s="111">
        <v>207.45</v>
      </c>
      <c r="D91" s="116">
        <f t="shared" si="3"/>
        <v>4.8998786407767003E-2</v>
      </c>
      <c r="F91" s="118">
        <v>23643.5</v>
      </c>
      <c r="G91" s="120">
        <f t="shared" si="2"/>
        <v>-2.2032043977225579E-2</v>
      </c>
    </row>
    <row r="92" spans="2:7">
      <c r="B92" s="114">
        <v>46160</v>
      </c>
      <c r="C92" s="111">
        <v>211.86</v>
      </c>
      <c r="D92" s="116">
        <f t="shared" si="3"/>
        <v>2.1258134490238723E-2</v>
      </c>
      <c r="F92" s="118">
        <v>23719.3</v>
      </c>
      <c r="G92" s="120">
        <f t="shared" si="2"/>
        <v>3.2059551250871454E-3</v>
      </c>
    </row>
    <row r="93" spans="2:7">
      <c r="B93" s="114">
        <v>46167</v>
      </c>
      <c r="C93" s="111">
        <v>246.19</v>
      </c>
      <c r="D93" s="116">
        <f t="shared" si="3"/>
        <v>0.16204097045218524</v>
      </c>
      <c r="F93" s="118">
        <v>23547.75</v>
      </c>
      <c r="G93" s="120">
        <f t="shared" si="2"/>
        <v>-7.2325068615008981E-3</v>
      </c>
    </row>
    <row r="94" spans="2:7">
      <c r="B94" s="114">
        <v>46174</v>
      </c>
      <c r="C94" s="111">
        <v>233.19</v>
      </c>
      <c r="D94" s="116">
        <f t="shared" si="3"/>
        <v>-5.2804744303180495E-2</v>
      </c>
      <c r="F94" s="118">
        <v>23366.7</v>
      </c>
      <c r="G94" s="120">
        <f t="shared" si="2"/>
        <v>-7.6886326719113329E-3</v>
      </c>
    </row>
    <row r="95" spans="2:7">
      <c r="B95" s="114">
        <v>46181</v>
      </c>
      <c r="C95" s="111">
        <v>252.37</v>
      </c>
      <c r="D95" s="116">
        <f t="shared" si="3"/>
        <v>8.2250525322698165E-2</v>
      </c>
      <c r="F95" s="118">
        <v>23622.9</v>
      </c>
      <c r="G95" s="120">
        <f t="shared" si="2"/>
        <v>1.0964321020940027E-2</v>
      </c>
    </row>
    <row r="96" spans="2:7">
      <c r="B96" s="114">
        <v>46188</v>
      </c>
      <c r="C96" s="111">
        <v>259.67</v>
      </c>
      <c r="D96" s="116">
        <f t="shared" si="3"/>
        <v>2.8925783571740027E-2</v>
      </c>
      <c r="F96" s="118">
        <v>24013.1</v>
      </c>
      <c r="G96" s="120">
        <f t="shared" si="2"/>
        <v>1.6517870371546062E-2</v>
      </c>
    </row>
    <row r="97" spans="2:7">
      <c r="B97" s="114">
        <v>46195</v>
      </c>
      <c r="C97" s="111">
        <v>256.07</v>
      </c>
      <c r="D97" s="116">
        <f t="shared" si="3"/>
        <v>-1.38637501444141E-2</v>
      </c>
      <c r="F97" s="118">
        <v>24056</v>
      </c>
      <c r="G97" s="120">
        <f t="shared" si="2"/>
        <v>1.7865248551833801E-3</v>
      </c>
    </row>
    <row r="98" spans="2:7">
      <c r="B98" s="114">
        <v>46202</v>
      </c>
      <c r="C98" s="111">
        <v>264.45</v>
      </c>
      <c r="D98" s="116">
        <f t="shared" si="3"/>
        <v>3.2725426641152744E-2</v>
      </c>
      <c r="F98" s="118">
        <v>24270.85</v>
      </c>
      <c r="G98" s="120">
        <f t="shared" si="2"/>
        <v>8.9312437645492349E-3</v>
      </c>
    </row>
    <row r="99" spans="2:7">
      <c r="B99" s="114">
        <v>46209</v>
      </c>
      <c r="C99" s="111">
        <v>272.39999999999998</v>
      </c>
      <c r="D99" s="116">
        <f t="shared" si="3"/>
        <v>3.0062393647192209E-2</v>
      </c>
      <c r="F99" s="118">
        <v>24206.9</v>
      </c>
      <c r="G99" s="120">
        <f t="shared" si="2"/>
        <v>-2.6348479760699428E-3</v>
      </c>
    </row>
    <row r="100" spans="2:7">
      <c r="B100" s="114">
        <v>46216</v>
      </c>
      <c r="C100" s="111">
        <v>267.10000000000002</v>
      </c>
      <c r="D100" s="116">
        <f t="shared" si="3"/>
        <v>-1.9456681350954352E-2</v>
      </c>
      <c r="F100" s="118">
        <v>24334.3</v>
      </c>
      <c r="G100" s="120">
        <f t="shared" si="2"/>
        <v>5.262962213253175E-3</v>
      </c>
    </row>
    <row r="101" spans="2:7">
      <c r="B101" s="114">
        <v>46223</v>
      </c>
      <c r="C101" s="111">
        <v>246.3</v>
      </c>
      <c r="D101" s="116">
        <f t="shared" si="3"/>
        <v>-7.7873455634593802E-2</v>
      </c>
      <c r="F101" s="118">
        <v>23767.45</v>
      </c>
      <c r="G101" s="120">
        <f t="shared" si="2"/>
        <v>-2.3294280090242925E-2</v>
      </c>
    </row>
    <row r="102" spans="2:7">
      <c r="B102" s="114">
        <v>46230</v>
      </c>
      <c r="C102" s="111">
        <v>258.35000000000002</v>
      </c>
      <c r="D102" s="116">
        <f t="shared" si="3"/>
        <v>4.8924076329679211E-2</v>
      </c>
      <c r="F102" s="118">
        <v>24383.599999999999</v>
      </c>
      <c r="G102" s="120">
        <f t="shared" si="2"/>
        <v>2.5924110495656683E-2</v>
      </c>
    </row>
    <row r="103" spans="2:7">
      <c r="B103" s="114">
        <v>46237</v>
      </c>
      <c r="C103" s="111">
        <v>273.85000000000002</v>
      </c>
      <c r="D103" s="116">
        <f t="shared" si="3"/>
        <v>5.9996129281981725E-2</v>
      </c>
      <c r="F103" s="118">
        <v>24570.65</v>
      </c>
      <c r="G103" s="120">
        <f t="shared" si="2"/>
        <v>7.6711396184321323E-3</v>
      </c>
    </row>
    <row r="104" spans="2:7">
      <c r="B104" s="114">
        <v>46244</v>
      </c>
      <c r="C104" s="111">
        <v>333</v>
      </c>
      <c r="D104" s="116">
        <f t="shared" si="3"/>
        <v>0.21599415738542982</v>
      </c>
      <c r="F104" s="118">
        <v>24366</v>
      </c>
      <c r="G104" s="120">
        <f t="shared" si="2"/>
        <v>-8.3290429842108882E-3</v>
      </c>
    </row>
    <row r="105" spans="2:7">
      <c r="B105" s="114">
        <v>46251</v>
      </c>
      <c r="C105" s="111">
        <v>321.3</v>
      </c>
      <c r="D105" s="116">
        <f t="shared" si="3"/>
        <v>-3.5135135135135109E-2</v>
      </c>
      <c r="F105" s="118">
        <v>24252</v>
      </c>
      <c r="G105" s="120">
        <f t="shared" si="2"/>
        <v>-4.6786505786752253E-3</v>
      </c>
    </row>
    <row r="106" spans="2:7">
      <c r="B106" s="114">
        <v>46258</v>
      </c>
      <c r="C106" s="111">
        <v>329.7</v>
      </c>
      <c r="D106" s="116">
        <f t="shared" si="3"/>
        <v>2.614379084967311E-2</v>
      </c>
      <c r="F106" s="118">
        <v>24175.65</v>
      </c>
      <c r="G106" s="120">
        <f t="shared" si="2"/>
        <v>-3.1481939633843936E-3</v>
      </c>
    </row>
    <row r="107" spans="2:7">
      <c r="B107" s="114">
        <v>46265</v>
      </c>
      <c r="C107" s="111">
        <v>326.75</v>
      </c>
      <c r="D107" s="116">
        <f t="shared" si="3"/>
        <v>-8.9475280558082293E-3</v>
      </c>
      <c r="F107" s="118">
        <v>23897.7</v>
      </c>
      <c r="G107" s="120">
        <f t="shared" si="2"/>
        <v>-1.1497105558692322E-2</v>
      </c>
    </row>
    <row r="108" spans="2:7">
      <c r="B108" s="114">
        <v>46272</v>
      </c>
      <c r="C108" s="111">
        <v>329.4</v>
      </c>
      <c r="D108" s="116">
        <f t="shared" si="3"/>
        <v>8.1101759755164426E-3</v>
      </c>
      <c r="F108" s="118">
        <v>23398.1</v>
      </c>
      <c r="G108" s="120">
        <f t="shared" si="2"/>
        <v>-2.0905777543445692E-2</v>
      </c>
    </row>
    <row r="109" spans="2:7">
      <c r="B109" s="114">
        <v>46279</v>
      </c>
      <c r="C109" s="111">
        <v>320.14999999999998</v>
      </c>
      <c r="D109" s="116">
        <f t="shared" si="3"/>
        <v>-2.8081360048573201E-2</v>
      </c>
      <c r="F109" s="118">
        <v>23346.400000000001</v>
      </c>
      <c r="G109" s="120">
        <f t="shared" si="2"/>
        <v>-2.2095811198343807E-3</v>
      </c>
    </row>
    <row r="110" spans="2:7">
      <c r="B110" s="114">
        <v>46286</v>
      </c>
      <c r="C110" s="111">
        <v>336.95</v>
      </c>
      <c r="D110" s="116">
        <f t="shared" si="3"/>
        <v>5.2475402155239825E-2</v>
      </c>
      <c r="F110" s="118">
        <v>23140.5</v>
      </c>
      <c r="G110" s="120">
        <f t="shared" si="2"/>
        <v>-8.8193468800329411E-3</v>
      </c>
    </row>
    <row r="111" spans="2:7">
      <c r="B111" s="114">
        <v>46293</v>
      </c>
      <c r="C111" s="111">
        <v>325.60000000000002</v>
      </c>
      <c r="D111" s="116">
        <f t="shared" si="3"/>
        <v>-3.3684522926250127E-2</v>
      </c>
      <c r="F111" s="118">
        <v>22421.95</v>
      </c>
      <c r="G111" s="120">
        <f t="shared" si="2"/>
        <v>-3.1051619455067958E-2</v>
      </c>
    </row>
    <row r="112" spans="2:7">
      <c r="B112" s="114">
        <v>46300</v>
      </c>
      <c r="C112" s="111">
        <v>309.10000000000002</v>
      </c>
      <c r="D112" s="116">
        <f t="shared" si="3"/>
        <v>-5.0675675675675658E-2</v>
      </c>
      <c r="F112" s="118">
        <v>22520.45</v>
      </c>
      <c r="G112" s="120">
        <f t="shared" si="2"/>
        <v>4.3930166644738922E-3</v>
      </c>
    </row>
  </sheetData>
  <autoFilter ref="F7:G112" xr:uid="{94884944-D0AC-470B-8A9C-1403C1F2A13C}"/>
  <mergeCells count="3">
    <mergeCell ref="J4:K4"/>
    <mergeCell ref="F4:H4"/>
    <mergeCell ref="B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AC92-2CDB-4894-8880-EFB0A0C15864}">
  <dimension ref="B8:I35"/>
  <sheetViews>
    <sheetView showGridLines="0" workbookViewId="0">
      <selection activeCell="F11" sqref="F11"/>
    </sheetView>
  </sheetViews>
  <sheetFormatPr defaultRowHeight="13.8"/>
  <cols>
    <col min="1" max="1" width="2.125" customWidth="1"/>
    <col min="5" max="5" width="16.75" bestFit="1" customWidth="1"/>
  </cols>
  <sheetData>
    <row r="8" spans="2:9">
      <c r="B8" s="109" t="s">
        <v>146</v>
      </c>
      <c r="C8" s="110" t="s">
        <v>239</v>
      </c>
    </row>
    <row r="9" spans="2:9">
      <c r="B9" s="109">
        <v>2000</v>
      </c>
      <c r="C9" s="119">
        <v>-0.14649999999999999</v>
      </c>
    </row>
    <row r="10" spans="2:9">
      <c r="B10" s="109">
        <v>2001</v>
      </c>
      <c r="C10" s="119">
        <v>-0.1618</v>
      </c>
      <c r="E10" t="s">
        <v>161</v>
      </c>
      <c r="F10" s="115">
        <f>AVERAGE(C9:C34)</f>
        <v>0.1514923076923077</v>
      </c>
    </row>
    <row r="11" spans="2:9">
      <c r="B11" s="109">
        <v>2002</v>
      </c>
      <c r="C11" s="119">
        <v>3.2500000000000001E-2</v>
      </c>
      <c r="E11" t="s">
        <v>240</v>
      </c>
      <c r="F11" s="211">
        <v>1.2200000000000001E-2</v>
      </c>
      <c r="I11">
        <v>100</v>
      </c>
    </row>
    <row r="12" spans="2:9">
      <c r="B12" s="109">
        <v>2003</v>
      </c>
      <c r="C12" s="119">
        <v>0.71900000000000008</v>
      </c>
      <c r="E12" t="s">
        <v>241</v>
      </c>
      <c r="F12" s="115">
        <f>SUM(F10:F11)</f>
        <v>0.16369230769230769</v>
      </c>
    </row>
    <row r="13" spans="2:9">
      <c r="B13" s="109">
        <v>2004</v>
      </c>
      <c r="C13" s="119">
        <v>0.10679999999999999</v>
      </c>
    </row>
    <row r="14" spans="2:9">
      <c r="B14" s="109">
        <v>2005</v>
      </c>
      <c r="C14" s="119">
        <v>0.36340000000000006</v>
      </c>
    </row>
    <row r="15" spans="2:9">
      <c r="B15" s="109">
        <v>2006</v>
      </c>
      <c r="C15" s="119">
        <v>0.39829999999999999</v>
      </c>
    </row>
    <row r="16" spans="2:9">
      <c r="B16" s="109">
        <v>2007</v>
      </c>
      <c r="C16" s="119">
        <v>0.54770000000000008</v>
      </c>
    </row>
    <row r="17" spans="2:3">
      <c r="B17" s="109">
        <v>2008</v>
      </c>
      <c r="C17" s="119">
        <v>-0.51790000000000003</v>
      </c>
    </row>
    <row r="18" spans="2:3">
      <c r="B18" s="109">
        <v>2009</v>
      </c>
      <c r="C18" s="119">
        <v>0.75760000000000005</v>
      </c>
    </row>
    <row r="19" spans="2:3">
      <c r="B19" s="109">
        <v>2010</v>
      </c>
      <c r="C19" s="119">
        <v>0.17949999999999999</v>
      </c>
    </row>
    <row r="20" spans="2:3">
      <c r="B20" s="109">
        <v>2011</v>
      </c>
      <c r="C20" s="119">
        <v>-0.2462</v>
      </c>
    </row>
    <row r="21" spans="2:3">
      <c r="B21" s="109">
        <v>2012</v>
      </c>
      <c r="C21" s="119">
        <v>0.27699999999999997</v>
      </c>
    </row>
    <row r="22" spans="2:3">
      <c r="B22" s="109">
        <v>2013</v>
      </c>
      <c r="C22" s="119">
        <v>6.7599999999999993E-2</v>
      </c>
    </row>
    <row r="23" spans="2:3">
      <c r="B23" s="109">
        <v>2014</v>
      </c>
      <c r="C23" s="119">
        <v>0.31390000000000001</v>
      </c>
    </row>
    <row r="24" spans="2:3">
      <c r="B24" s="109">
        <v>2015</v>
      </c>
      <c r="C24" s="119">
        <v>-4.0599999999999997E-2</v>
      </c>
    </row>
    <row r="25" spans="2:3">
      <c r="B25" s="109">
        <v>2016</v>
      </c>
      <c r="C25" s="119">
        <v>3.0099999999999998E-2</v>
      </c>
    </row>
    <row r="26" spans="2:3">
      <c r="B26" s="109">
        <v>2017</v>
      </c>
      <c r="C26" s="119">
        <v>0.28649999999999998</v>
      </c>
    </row>
    <row r="27" spans="2:3">
      <c r="B27" s="109">
        <v>2018</v>
      </c>
      <c r="C27" s="119">
        <v>3.15E-2</v>
      </c>
    </row>
    <row r="28" spans="2:3">
      <c r="B28" s="109">
        <v>2019</v>
      </c>
      <c r="C28" s="119">
        <v>0.1202</v>
      </c>
    </row>
    <row r="29" spans="2:3">
      <c r="B29" s="109">
        <v>2020</v>
      </c>
      <c r="C29" s="119">
        <v>0.14899999999999999</v>
      </c>
    </row>
    <row r="30" spans="2:3">
      <c r="B30" s="109">
        <v>2021</v>
      </c>
      <c r="C30" s="119">
        <v>0.2412</v>
      </c>
    </row>
    <row r="31" spans="2:3">
      <c r="B31" s="109">
        <v>2022</v>
      </c>
      <c r="C31" s="119">
        <v>4.3200000000000002E-2</v>
      </c>
    </row>
    <row r="32" spans="2:3">
      <c r="B32" s="109">
        <v>2023</v>
      </c>
      <c r="C32" s="119">
        <v>0.19420000000000001</v>
      </c>
    </row>
    <row r="33" spans="2:3">
      <c r="B33" s="109">
        <v>2024</v>
      </c>
      <c r="C33" s="119">
        <v>8.7499999999999994E-2</v>
      </c>
    </row>
    <row r="34" spans="2:3">
      <c r="B34" s="109">
        <v>2025</v>
      </c>
      <c r="C34" s="119">
        <v>0.1051</v>
      </c>
    </row>
    <row r="35" spans="2:3">
      <c r="B35" s="10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1829-E4F0-4E43-BB93-0FCA4A15BEF6}">
  <dimension ref="B4:G9"/>
  <sheetViews>
    <sheetView showGridLines="0" workbookViewId="0">
      <selection activeCell="K9" sqref="K9"/>
    </sheetView>
  </sheetViews>
  <sheetFormatPr defaultRowHeight="13.8"/>
  <cols>
    <col min="2" max="2" width="5.5" bestFit="1" customWidth="1"/>
    <col min="3" max="3" width="15.5" bestFit="1" customWidth="1"/>
    <col min="4" max="4" width="8.375" bestFit="1" customWidth="1"/>
    <col min="5" max="5" width="13.875" bestFit="1" customWidth="1"/>
    <col min="6" max="6" width="8.375" bestFit="1" customWidth="1"/>
    <col min="7" max="7" width="10.375" bestFit="1" customWidth="1"/>
  </cols>
  <sheetData>
    <row r="4" spans="2:7">
      <c r="B4" s="149" t="s">
        <v>226</v>
      </c>
      <c r="C4" s="149" t="s">
        <v>227</v>
      </c>
      <c r="D4" s="149" t="s">
        <v>234</v>
      </c>
      <c r="E4" s="149" t="s">
        <v>235</v>
      </c>
      <c r="F4" s="149" t="s">
        <v>228</v>
      </c>
      <c r="G4" s="149" t="s">
        <v>236</v>
      </c>
    </row>
    <row r="5" spans="2:7">
      <c r="B5" s="149">
        <v>1</v>
      </c>
      <c r="C5" s="149" t="s">
        <v>229</v>
      </c>
      <c r="D5" s="149">
        <v>1760</v>
      </c>
      <c r="E5" s="149">
        <v>424041.97</v>
      </c>
      <c r="F5" s="149">
        <v>0.06</v>
      </c>
      <c r="G5" s="149">
        <v>4627.32</v>
      </c>
    </row>
    <row r="6" spans="2:7">
      <c r="B6" s="149">
        <v>2</v>
      </c>
      <c r="C6" s="149" t="s">
        <v>230</v>
      </c>
      <c r="D6" s="149">
        <v>9340</v>
      </c>
      <c r="E6" s="149">
        <v>247208.22</v>
      </c>
      <c r="F6" s="149">
        <v>0</v>
      </c>
      <c r="G6" s="149">
        <v>7</v>
      </c>
    </row>
    <row r="7" spans="2:7">
      <c r="B7" s="149">
        <v>3</v>
      </c>
      <c r="C7" s="149" t="s">
        <v>231</v>
      </c>
      <c r="D7" s="149">
        <v>4656.8999999999996</v>
      </c>
      <c r="E7" s="149">
        <v>174939.7</v>
      </c>
      <c r="F7" s="149">
        <v>1.79</v>
      </c>
      <c r="G7" s="149">
        <v>15025.5</v>
      </c>
    </row>
    <row r="8" spans="2:7">
      <c r="B8" s="149">
        <v>4</v>
      </c>
      <c r="C8" s="149" t="s">
        <v>232</v>
      </c>
      <c r="D8" s="149">
        <v>1117.5</v>
      </c>
      <c r="E8" s="149">
        <v>111151.2</v>
      </c>
      <c r="F8" s="149">
        <v>0.46</v>
      </c>
      <c r="G8" s="149">
        <v>12496</v>
      </c>
    </row>
    <row r="9" spans="2:7">
      <c r="B9" s="149">
        <v>5</v>
      </c>
      <c r="C9" s="149" t="s">
        <v>233</v>
      </c>
      <c r="D9" s="149">
        <v>2036.6</v>
      </c>
      <c r="E9" s="149">
        <v>109924.45</v>
      </c>
      <c r="F9" s="149">
        <v>0.48</v>
      </c>
      <c r="G9" s="149">
        <v>2518.48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73B4-C12A-4CE7-9873-39621DA060CC}">
  <sheetPr>
    <pageSetUpPr fitToPage="1"/>
  </sheetPr>
  <dimension ref="A1:N38"/>
  <sheetViews>
    <sheetView zoomScale="97" zoomScaleNormal="150" zoomScalePageLayoutView="150" workbookViewId="0">
      <pane xSplit="2" ySplit="4" topLeftCell="H13" activePane="bottomRight" state="frozen"/>
      <selection pane="topRight" activeCell="C1" sqref="C1"/>
      <selection pane="bottomLeft" activeCell="A5" sqref="A5"/>
      <selection pane="bottomRight" activeCell="J15" sqref="J15"/>
    </sheetView>
  </sheetViews>
  <sheetFormatPr defaultColWidth="9.875" defaultRowHeight="13.8"/>
  <cols>
    <col min="1" max="1" width="6.625" style="25" customWidth="1"/>
    <col min="2" max="2" width="39.625" style="25" bestFit="1" customWidth="1"/>
    <col min="3" max="14" width="14.625" style="25" customWidth="1"/>
    <col min="15" max="16384" width="9.875" style="25"/>
  </cols>
  <sheetData>
    <row r="1" spans="1:14" s="24" customFormat="1">
      <c r="C1" s="25"/>
      <c r="D1" s="25"/>
    </row>
    <row r="3" spans="1:14" s="24" customFormat="1">
      <c r="A3" s="26"/>
      <c r="B3" s="27"/>
      <c r="C3" s="27"/>
      <c r="D3" s="27"/>
      <c r="E3" s="27"/>
      <c r="F3" s="27"/>
      <c r="G3" s="27"/>
      <c r="H3" s="27"/>
      <c r="I3" s="27"/>
    </row>
    <row r="4" spans="1:14" s="24" customFormat="1" ht="14.4" thickBot="1">
      <c r="B4" s="35"/>
      <c r="C4" s="35">
        <v>42064</v>
      </c>
      <c r="D4" s="35">
        <v>42430</v>
      </c>
      <c r="E4" s="35">
        <v>42795</v>
      </c>
      <c r="F4" s="35">
        <v>43160</v>
      </c>
      <c r="G4" s="35">
        <v>43525</v>
      </c>
      <c r="H4" s="35">
        <v>43891</v>
      </c>
      <c r="I4" s="35">
        <v>44256</v>
      </c>
      <c r="J4" s="35">
        <v>44621</v>
      </c>
      <c r="K4" s="35">
        <v>44986</v>
      </c>
      <c r="L4" s="35">
        <v>45352</v>
      </c>
      <c r="M4" s="35">
        <v>45717</v>
      </c>
      <c r="N4" s="36">
        <v>46082</v>
      </c>
    </row>
    <row r="5" spans="1:14" ht="14.4" thickBot="1">
      <c r="B5" s="37" t="s">
        <v>109</v>
      </c>
      <c r="C5" s="38">
        <v>155</v>
      </c>
      <c r="D5" s="38">
        <v>31</v>
      </c>
      <c r="E5" s="38">
        <v>14</v>
      </c>
      <c r="F5" s="38">
        <v>50</v>
      </c>
      <c r="G5" s="38">
        <v>27</v>
      </c>
      <c r="H5" s="38">
        <v>233</v>
      </c>
      <c r="I5" s="38">
        <v>179</v>
      </c>
      <c r="J5" s="38">
        <v>99</v>
      </c>
      <c r="K5" s="38">
        <v>237</v>
      </c>
      <c r="L5" s="38">
        <v>230</v>
      </c>
      <c r="M5" s="38">
        <v>207</v>
      </c>
      <c r="N5" s="38">
        <v>458</v>
      </c>
    </row>
    <row r="6" spans="1:14">
      <c r="B6" s="39" t="s">
        <v>86</v>
      </c>
      <c r="C6" s="38">
        <v>180</v>
      </c>
      <c r="D6" s="38">
        <v>146</v>
      </c>
      <c r="E6" s="38">
        <v>41</v>
      </c>
      <c r="F6" s="38">
        <v>94</v>
      </c>
      <c r="G6" s="38">
        <v>136</v>
      </c>
      <c r="H6" s="38">
        <v>199</v>
      </c>
      <c r="I6" s="38">
        <v>359</v>
      </c>
      <c r="J6" s="38">
        <v>283</v>
      </c>
      <c r="K6" s="38">
        <v>412</v>
      </c>
      <c r="L6" s="38">
        <v>479</v>
      </c>
      <c r="M6" s="38">
        <v>573</v>
      </c>
      <c r="N6" s="38">
        <v>660</v>
      </c>
    </row>
    <row r="7" spans="1:14" s="24" customFormat="1">
      <c r="B7" s="40" t="s">
        <v>16</v>
      </c>
      <c r="C7" s="41">
        <v>-14</v>
      </c>
      <c r="D7" s="41">
        <v>-34</v>
      </c>
      <c r="E7" s="41">
        <v>-30</v>
      </c>
      <c r="F7" s="41">
        <v>71</v>
      </c>
      <c r="G7" s="41">
        <v>0</v>
      </c>
      <c r="H7" s="41">
        <v>-67</v>
      </c>
      <c r="I7" s="41">
        <v>-37</v>
      </c>
      <c r="J7" s="41">
        <v>-104</v>
      </c>
      <c r="K7" s="41">
        <v>-28</v>
      </c>
      <c r="L7" s="41">
        <v>-37</v>
      </c>
      <c r="M7" s="41">
        <v>-78</v>
      </c>
      <c r="N7" s="41">
        <v>-31</v>
      </c>
    </row>
    <row r="8" spans="1:14">
      <c r="B8" s="40" t="s">
        <v>15</v>
      </c>
      <c r="C8" s="41">
        <v>-28</v>
      </c>
      <c r="D8" s="41">
        <v>-38</v>
      </c>
      <c r="E8" s="41">
        <v>-22</v>
      </c>
      <c r="F8" s="41">
        <v>-28</v>
      </c>
      <c r="G8" s="41">
        <v>-75</v>
      </c>
      <c r="H8" s="41">
        <v>51</v>
      </c>
      <c r="I8" s="41">
        <v>-139</v>
      </c>
      <c r="J8" s="41">
        <v>-18</v>
      </c>
      <c r="K8" s="41">
        <v>-45</v>
      </c>
      <c r="L8" s="41">
        <v>-113</v>
      </c>
      <c r="M8" s="41">
        <v>-195</v>
      </c>
      <c r="N8" s="41">
        <v>-39</v>
      </c>
    </row>
    <row r="9" spans="1:14">
      <c r="B9" s="40" t="s">
        <v>87</v>
      </c>
      <c r="C9" s="41">
        <v>47</v>
      </c>
      <c r="D9" s="41">
        <v>7</v>
      </c>
      <c r="E9" s="41">
        <v>43</v>
      </c>
      <c r="F9" s="41">
        <v>-84</v>
      </c>
      <c r="G9" s="41">
        <v>9</v>
      </c>
      <c r="H9" s="41">
        <v>67</v>
      </c>
      <c r="I9" s="41">
        <v>42</v>
      </c>
      <c r="J9" s="41">
        <v>28</v>
      </c>
      <c r="K9" s="41">
        <v>22</v>
      </c>
      <c r="L9" s="41">
        <v>0</v>
      </c>
      <c r="M9" s="41">
        <v>0</v>
      </c>
      <c r="N9" s="41">
        <v>0</v>
      </c>
    </row>
    <row r="10" spans="1:14">
      <c r="B10" s="40" t="s">
        <v>88</v>
      </c>
      <c r="C10" s="41">
        <v>14</v>
      </c>
      <c r="D10" s="41">
        <v>-19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</row>
    <row r="11" spans="1:14" ht="14.4" thickBot="1">
      <c r="B11" s="40" t="s">
        <v>89</v>
      </c>
      <c r="C11" s="41">
        <v>-1</v>
      </c>
      <c r="D11" s="41">
        <v>-4</v>
      </c>
      <c r="E11" s="41">
        <v>-18</v>
      </c>
      <c r="F11" s="41">
        <v>5</v>
      </c>
      <c r="G11" s="41">
        <v>-16</v>
      </c>
      <c r="H11" s="41">
        <v>8</v>
      </c>
      <c r="I11" s="41">
        <v>3</v>
      </c>
      <c r="J11" s="41">
        <v>-17</v>
      </c>
      <c r="K11" s="41">
        <v>-62</v>
      </c>
      <c r="L11" s="41">
        <v>24</v>
      </c>
      <c r="M11" s="41">
        <v>32</v>
      </c>
      <c r="N11" s="41">
        <v>8</v>
      </c>
    </row>
    <row r="12" spans="1:14">
      <c r="B12" s="39" t="s">
        <v>90</v>
      </c>
      <c r="C12" s="38">
        <v>19</v>
      </c>
      <c r="D12" s="38">
        <v>-88</v>
      </c>
      <c r="E12" s="38">
        <v>-27</v>
      </c>
      <c r="F12" s="38">
        <v>-36</v>
      </c>
      <c r="G12" s="38">
        <v>-82</v>
      </c>
      <c r="H12" s="38">
        <v>59</v>
      </c>
      <c r="I12" s="38">
        <v>-132</v>
      </c>
      <c r="J12" s="38">
        <v>-111</v>
      </c>
      <c r="K12" s="38">
        <v>-111</v>
      </c>
      <c r="L12" s="38">
        <v>-126</v>
      </c>
      <c r="M12" s="38">
        <v>-241</v>
      </c>
      <c r="N12" s="38">
        <v>-62</v>
      </c>
    </row>
    <row r="13" spans="1:14" ht="14.4" thickBot="1">
      <c r="B13" s="40" t="s">
        <v>91</v>
      </c>
      <c r="C13" s="41">
        <v>-45</v>
      </c>
      <c r="D13" s="41">
        <v>-28</v>
      </c>
      <c r="E13" s="41">
        <v>0</v>
      </c>
      <c r="F13" s="41">
        <v>-7</v>
      </c>
      <c r="G13" s="41">
        <v>-27</v>
      </c>
      <c r="H13" s="41">
        <v>-25</v>
      </c>
      <c r="I13" s="41">
        <v>-49</v>
      </c>
      <c r="J13" s="41">
        <v>-73</v>
      </c>
      <c r="K13" s="41">
        <v>-63</v>
      </c>
      <c r="L13" s="41">
        <v>-122</v>
      </c>
      <c r="M13" s="41">
        <v>-126</v>
      </c>
      <c r="N13" s="41">
        <v>-140</v>
      </c>
    </row>
    <row r="14" spans="1:14">
      <c r="B14" s="37" t="s">
        <v>110</v>
      </c>
      <c r="C14" s="38">
        <v>-33</v>
      </c>
      <c r="D14" s="38">
        <v>-123</v>
      </c>
      <c r="E14" s="38">
        <v>-21</v>
      </c>
      <c r="F14" s="38">
        <v>-39</v>
      </c>
      <c r="G14" s="38">
        <v>-13</v>
      </c>
      <c r="H14" s="38">
        <v>-60</v>
      </c>
      <c r="I14" s="38">
        <v>-45</v>
      </c>
      <c r="J14" s="38">
        <v>-84</v>
      </c>
      <c r="K14" s="38">
        <v>-259</v>
      </c>
      <c r="L14" s="38">
        <v>-141</v>
      </c>
      <c r="M14" s="38">
        <v>-49</v>
      </c>
      <c r="N14" s="38">
        <v>-249</v>
      </c>
    </row>
    <row r="15" spans="1:14">
      <c r="B15" s="40" t="s">
        <v>92</v>
      </c>
      <c r="C15" s="41">
        <v>-36</v>
      </c>
      <c r="D15" s="41">
        <v>-132</v>
      </c>
      <c r="E15" s="41">
        <v>-28</v>
      </c>
      <c r="F15" s="41">
        <v>-39</v>
      </c>
      <c r="G15" s="41">
        <v>-13</v>
      </c>
      <c r="H15" s="41">
        <v>-60</v>
      </c>
      <c r="I15" s="41">
        <v>-46</v>
      </c>
      <c r="J15" s="41">
        <v>-46</v>
      </c>
      <c r="K15" s="41">
        <v>-54</v>
      </c>
      <c r="L15" s="41">
        <v>-209</v>
      </c>
      <c r="M15" s="41">
        <v>-173</v>
      </c>
      <c r="N15" s="41">
        <v>-131</v>
      </c>
    </row>
    <row r="16" spans="1:14">
      <c r="B16" s="40" t="s">
        <v>93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1</v>
      </c>
      <c r="J16" s="41">
        <v>0</v>
      </c>
      <c r="K16" s="41">
        <v>0</v>
      </c>
      <c r="L16" s="41">
        <v>1</v>
      </c>
      <c r="M16" s="41">
        <v>1</v>
      </c>
      <c r="N16" s="41">
        <v>1</v>
      </c>
    </row>
    <row r="17" spans="2:14">
      <c r="B17" s="40" t="s">
        <v>94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-37</v>
      </c>
      <c r="M17" s="41">
        <v>0</v>
      </c>
      <c r="N17" s="41">
        <v>-149</v>
      </c>
    </row>
    <row r="18" spans="2:14">
      <c r="B18" s="40" t="s">
        <v>95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11</v>
      </c>
      <c r="M18" s="41">
        <v>27</v>
      </c>
      <c r="N18" s="41">
        <v>151</v>
      </c>
    </row>
    <row r="19" spans="2:14">
      <c r="B19" s="40" t="s">
        <v>96</v>
      </c>
      <c r="C19" s="41">
        <v>3</v>
      </c>
      <c r="D19" s="41">
        <v>2</v>
      </c>
      <c r="E19" s="41">
        <v>0</v>
      </c>
      <c r="F19" s="41">
        <v>0</v>
      </c>
      <c r="G19" s="41">
        <v>0</v>
      </c>
      <c r="H19" s="41">
        <v>0</v>
      </c>
      <c r="I19" s="41">
        <v>1</v>
      </c>
      <c r="J19" s="41">
        <v>5</v>
      </c>
      <c r="K19" s="41">
        <v>10</v>
      </c>
      <c r="L19" s="41">
        <v>31</v>
      </c>
      <c r="M19" s="41">
        <v>34</v>
      </c>
      <c r="N19" s="41">
        <v>26</v>
      </c>
    </row>
    <row r="20" spans="2:14">
      <c r="B20" s="40" t="s">
        <v>97</v>
      </c>
      <c r="C20" s="41">
        <v>0</v>
      </c>
      <c r="D20" s="41">
        <v>6</v>
      </c>
      <c r="E20" s="41">
        <v>7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</row>
    <row r="21" spans="2:14">
      <c r="B21" s="40" t="s">
        <v>98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-27</v>
      </c>
      <c r="L21" s="41">
        <v>0</v>
      </c>
      <c r="M21" s="41">
        <v>0</v>
      </c>
      <c r="N21" s="41">
        <v>0</v>
      </c>
    </row>
    <row r="22" spans="2:14" ht="14.4" thickBot="1">
      <c r="B22" s="40" t="s">
        <v>99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-43</v>
      </c>
      <c r="K22" s="41">
        <v>-190</v>
      </c>
      <c r="L22" s="41">
        <v>62</v>
      </c>
      <c r="M22" s="41">
        <v>62</v>
      </c>
      <c r="N22" s="41">
        <v>-148</v>
      </c>
    </row>
    <row r="23" spans="2:14">
      <c r="B23" s="37" t="s">
        <v>111</v>
      </c>
      <c r="C23" s="38">
        <v>17</v>
      </c>
      <c r="D23" s="38">
        <v>-58</v>
      </c>
      <c r="E23" s="38">
        <v>-3</v>
      </c>
      <c r="F23" s="38">
        <v>3</v>
      </c>
      <c r="G23" s="38">
        <v>-21</v>
      </c>
      <c r="H23" s="38">
        <v>-114</v>
      </c>
      <c r="I23" s="38">
        <v>-15</v>
      </c>
      <c r="J23" s="38">
        <v>80</v>
      </c>
      <c r="K23" s="38">
        <v>198</v>
      </c>
      <c r="L23" s="38">
        <v>-69</v>
      </c>
      <c r="M23" s="38">
        <v>-65</v>
      </c>
      <c r="N23" s="38">
        <v>-71</v>
      </c>
    </row>
    <row r="24" spans="2:14">
      <c r="B24" s="40" t="s">
        <v>100</v>
      </c>
      <c r="C24" s="41">
        <v>131.24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</row>
    <row r="25" spans="2:14">
      <c r="B25" s="40" t="s">
        <v>101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10.76</v>
      </c>
      <c r="I25" s="41">
        <v>0</v>
      </c>
      <c r="J25" s="41">
        <v>22.55</v>
      </c>
      <c r="K25" s="41">
        <v>5.3</v>
      </c>
      <c r="L25" s="41">
        <v>0</v>
      </c>
      <c r="M25" s="41">
        <v>0</v>
      </c>
      <c r="N25" s="41">
        <v>6.51</v>
      </c>
    </row>
    <row r="26" spans="2:14">
      <c r="B26" s="40" t="s">
        <v>102</v>
      </c>
      <c r="C26" s="41">
        <v>0</v>
      </c>
      <c r="D26" s="41">
        <v>0</v>
      </c>
      <c r="E26" s="41">
        <v>0</v>
      </c>
      <c r="F26" s="41">
        <v>0</v>
      </c>
      <c r="G26" s="41">
        <v>-6.68</v>
      </c>
      <c r="H26" s="41">
        <v>-81.069999999999993</v>
      </c>
      <c r="I26" s="41">
        <v>-0.1</v>
      </c>
      <c r="J26" s="41">
        <v>0</v>
      </c>
      <c r="K26" s="41">
        <v>0</v>
      </c>
      <c r="L26" s="41">
        <v>-12.5</v>
      </c>
      <c r="M26" s="41">
        <v>-6.01</v>
      </c>
      <c r="N26" s="41">
        <v>0</v>
      </c>
    </row>
    <row r="27" spans="2:14">
      <c r="B27" s="40" t="s">
        <v>103</v>
      </c>
      <c r="C27" s="41">
        <v>-8.6999999999999993</v>
      </c>
      <c r="D27" s="41">
        <v>-6.29</v>
      </c>
      <c r="E27" s="41">
        <v>-6.78</v>
      </c>
      <c r="F27" s="41">
        <v>-10.220000000000001</v>
      </c>
      <c r="G27" s="41">
        <v>-9.66</v>
      </c>
      <c r="H27" s="41">
        <v>-8.75</v>
      </c>
      <c r="I27" s="41">
        <v>-7.99</v>
      </c>
      <c r="J27" s="41">
        <v>-4.22</v>
      </c>
      <c r="K27" s="41">
        <v>-6.07</v>
      </c>
      <c r="L27" s="41">
        <v>-5.17</v>
      </c>
      <c r="M27" s="41">
        <v>-2.39</v>
      </c>
      <c r="N27" s="41">
        <v>-2.79</v>
      </c>
    </row>
    <row r="28" spans="2:14">
      <c r="B28" s="40" t="s">
        <v>104</v>
      </c>
      <c r="C28" s="41">
        <v>-6.97</v>
      </c>
      <c r="D28" s="41">
        <v>-17.96</v>
      </c>
      <c r="E28" s="41">
        <v>-17.05</v>
      </c>
      <c r="F28" s="41">
        <v>-2.46</v>
      </c>
      <c r="G28" s="41">
        <v>-4.4400000000000004</v>
      </c>
      <c r="H28" s="41">
        <v>-29.5</v>
      </c>
      <c r="I28" s="41">
        <v>-4.09</v>
      </c>
      <c r="J28" s="41">
        <v>-10.58</v>
      </c>
      <c r="K28" s="41">
        <v>-10.17</v>
      </c>
      <c r="L28" s="41">
        <v>-22.66</v>
      </c>
      <c r="M28" s="41">
        <v>-27.19</v>
      </c>
      <c r="N28" s="41">
        <v>-36.25</v>
      </c>
    </row>
    <row r="29" spans="2:14">
      <c r="B29" s="40" t="s">
        <v>105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-3.1</v>
      </c>
      <c r="J29" s="41">
        <v>-19.39</v>
      </c>
      <c r="K29" s="41">
        <v>-20.77</v>
      </c>
      <c r="L29" s="41">
        <v>-28.4</v>
      </c>
      <c r="M29" s="41">
        <v>-29.57</v>
      </c>
      <c r="N29" s="41">
        <v>-38.4</v>
      </c>
    </row>
    <row r="30" spans="2:14" ht="14.4" thickBot="1">
      <c r="B30" s="40" t="s">
        <v>106</v>
      </c>
      <c r="C30" s="41">
        <v>-98.58</v>
      </c>
      <c r="D30" s="41">
        <v>-33.5</v>
      </c>
      <c r="E30" s="41">
        <v>20.350000000000001</v>
      </c>
      <c r="F30" s="41">
        <v>16.07</v>
      </c>
      <c r="G30" s="41">
        <v>0</v>
      </c>
      <c r="H30" s="41">
        <v>-5</v>
      </c>
      <c r="I30" s="41">
        <v>0</v>
      </c>
      <c r="J30" s="41">
        <v>91.16</v>
      </c>
      <c r="K30" s="41">
        <v>229.54</v>
      </c>
      <c r="L30" s="41">
        <v>0</v>
      </c>
      <c r="M30" s="41">
        <v>0</v>
      </c>
      <c r="N30" s="41">
        <v>0</v>
      </c>
    </row>
    <row r="31" spans="2:14">
      <c r="B31" s="37" t="s">
        <v>5</v>
      </c>
      <c r="C31" s="38">
        <v>138</v>
      </c>
      <c r="D31" s="38">
        <v>-150</v>
      </c>
      <c r="E31" s="38">
        <v>-10</v>
      </c>
      <c r="F31" s="38">
        <v>15</v>
      </c>
      <c r="G31" s="38">
        <v>-7</v>
      </c>
      <c r="H31" s="38">
        <v>60</v>
      </c>
      <c r="I31" s="38">
        <v>118</v>
      </c>
      <c r="J31" s="38">
        <v>94</v>
      </c>
      <c r="K31" s="38">
        <v>176</v>
      </c>
      <c r="L31" s="38">
        <v>21</v>
      </c>
      <c r="M31" s="38">
        <v>93</v>
      </c>
      <c r="N31" s="38">
        <v>138</v>
      </c>
    </row>
    <row r="32" spans="2:14">
      <c r="B32" s="42" t="s">
        <v>107</v>
      </c>
      <c r="C32" s="41">
        <v>118</v>
      </c>
      <c r="D32" s="41">
        <v>-101</v>
      </c>
      <c r="E32" s="41">
        <v>-14</v>
      </c>
      <c r="F32" s="41">
        <v>11</v>
      </c>
      <c r="G32" s="41">
        <v>14</v>
      </c>
      <c r="H32" s="41">
        <v>174</v>
      </c>
      <c r="I32" s="41">
        <v>133</v>
      </c>
      <c r="J32" s="41">
        <v>53</v>
      </c>
      <c r="K32" s="41">
        <v>184</v>
      </c>
      <c r="L32" s="41">
        <v>22</v>
      </c>
      <c r="M32" s="41">
        <v>35</v>
      </c>
      <c r="N32" s="41">
        <v>329</v>
      </c>
    </row>
    <row r="33" spans="2:14">
      <c r="B33" s="42" t="s">
        <v>108</v>
      </c>
      <c r="C33" s="43">
        <v>1.08</v>
      </c>
      <c r="D33" s="43">
        <v>0.43</v>
      </c>
      <c r="E33" s="43">
        <v>0.31</v>
      </c>
      <c r="F33" s="43">
        <v>0.73</v>
      </c>
      <c r="G33" s="43">
        <v>0.41</v>
      </c>
      <c r="H33" s="43">
        <v>1.34</v>
      </c>
      <c r="I33" s="43">
        <v>0.67</v>
      </c>
      <c r="J33" s="43">
        <v>0.66</v>
      </c>
      <c r="K33" s="43">
        <v>0.88</v>
      </c>
      <c r="L33" s="43">
        <v>0.77</v>
      </c>
      <c r="M33" s="43">
        <v>0.62</v>
      </c>
      <c r="N33" s="43">
        <v>0.99</v>
      </c>
    </row>
    <row r="34" spans="2:14"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2:14"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2:14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2:14">
      <c r="B37" s="30"/>
      <c r="C37" s="31"/>
      <c r="D37" s="32"/>
      <c r="E37" s="33"/>
      <c r="F37" s="33"/>
      <c r="G37" s="33"/>
      <c r="H37" s="33"/>
      <c r="I37" s="32"/>
      <c r="J37" s="32"/>
      <c r="K37" s="33"/>
      <c r="L37" s="32"/>
      <c r="M37" s="33"/>
      <c r="N37" s="33"/>
    </row>
    <row r="38" spans="2:14">
      <c r="B38" s="30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Model -&gt;</vt:lpstr>
      <vt:lpstr>Main Financials</vt:lpstr>
      <vt:lpstr>Ratio Analysis</vt:lpstr>
      <vt:lpstr>Intrinsic Growth</vt:lpstr>
      <vt:lpstr>Comps</vt:lpstr>
      <vt:lpstr>WACC-DCF</vt:lpstr>
      <vt:lpstr>DCF 1st way</vt:lpstr>
      <vt:lpstr>DCF 2nd way</vt:lpstr>
      <vt:lpstr>Data -&gt;</vt:lpstr>
      <vt:lpstr>compdata</vt:lpstr>
      <vt:lpstr>Data Sheet</vt:lpstr>
      <vt:lpstr>BS</vt:lpstr>
      <vt:lpstr>Beta</vt:lpstr>
      <vt:lpstr>RM</vt:lpstr>
      <vt:lpstr>peerdata</vt:lpstr>
      <vt:lpstr>Cash Flow</vt:lpstr>
      <vt:lpstr>tgr</vt:lpstr>
      <vt:lpstr>UPDATE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Mittal</dc:creator>
  <cp:lastModifiedBy>Keshav Mittal</cp:lastModifiedBy>
  <dcterms:created xsi:type="dcterms:W3CDTF">2026-10-04T09:44:45Z</dcterms:created>
  <dcterms:modified xsi:type="dcterms:W3CDTF">2026-10-17T18:39:45Z</dcterms:modified>
</cp:coreProperties>
</file>